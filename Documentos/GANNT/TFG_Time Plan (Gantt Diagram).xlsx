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sergio.bret\OneDrive - alfanar\Escritorio\ZIV\TFG\Proyecto\Documentos\GANNT\"/>
    </mc:Choice>
  </mc:AlternateContent>
  <xr:revisionPtr revIDLastSave="0" documentId="13_ncr:1_{0C91E19D-65DB-4176-91F1-9CCFCF891FA7}" xr6:coauthVersionLast="47" xr6:coauthVersionMax="47" xr10:uidLastSave="{00000000-0000-0000-0000-000000000000}"/>
  <bookViews>
    <workbookView xWindow="20370" yWindow="-120" windowWidth="29040" windowHeight="15720" xr2:uid="{2DE418D1-03AE-45E0-A367-68430C202E35}"/>
  </bookViews>
  <sheets>
    <sheet name="Patron Gantt" sheetId="4" r:id="rId1"/>
    <sheet name="Patron Gantt xPersona" sheetId="1" r:id="rId2"/>
    <sheet name="Patron Gantt (pers. escondidas)" sheetId="3" state="hidden" r:id="rId3"/>
    <sheet name="Parametros" sheetId="2" r:id="rId4"/>
  </sheets>
  <definedNames>
    <definedName name="_xlnm.Print_Area" localSheetId="0">'Patron Gantt'!$A$1:$DU$28</definedName>
    <definedName name="Fecha_inicio">Parametros!$B$2</definedName>
    <definedName name="Horas_dia">Parametros!$B$1</definedName>
    <definedName name="_xlnm.Print_Titles" localSheetId="0">'Patron Gantt'!$A:$B,'Patron Gantt'!$1:$1</definedName>
    <definedName name="_xlnm.Print_Titles" localSheetId="2">'Patron Gantt (pers. escondidas)'!$A:$B,'Patron Gantt (pers. escondidas)'!$1:$1</definedName>
    <definedName name="_xlnm.Print_Titles" localSheetId="1">'Patron Gantt xPersona'!$A:$B,'Patron Gantt xPersona'!$1:$1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B14" i="4"/>
  <c r="B2" i="4"/>
  <c r="B7" i="4"/>
  <c r="B22" i="4"/>
  <c r="B17" i="4"/>
  <c r="B18" i="4"/>
  <c r="B16" i="4"/>
  <c r="B15" i="4"/>
  <c r="B12" i="4"/>
  <c r="B11" i="4"/>
  <c r="B4" i="4"/>
  <c r="B5" i="4"/>
  <c r="B6" i="4"/>
  <c r="B8" i="4"/>
  <c r="B9" i="4"/>
  <c r="B10" i="4"/>
  <c r="B13" i="4"/>
  <c r="B20" i="4"/>
  <c r="B21" i="4"/>
  <c r="B23" i="4"/>
  <c r="B25" i="4"/>
  <c r="B26" i="4"/>
  <c r="B24" i="4" s="1"/>
  <c r="B28" i="4" s="1"/>
  <c r="B27" i="4"/>
  <c r="B3" i="4"/>
  <c r="C1" i="4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Z1" i="4" s="1"/>
  <c r="BA1" i="4" s="1"/>
  <c r="BB1" i="4" s="1"/>
  <c r="BC1" i="4" s="1"/>
  <c r="BD1" i="4" s="1"/>
  <c r="BE1" i="4" s="1"/>
  <c r="BF1" i="4" s="1"/>
  <c r="BG1" i="4" s="1"/>
  <c r="BH1" i="4" s="1"/>
  <c r="BI1" i="4" s="1"/>
  <c r="BJ1" i="4" s="1"/>
  <c r="BK1" i="4" s="1"/>
  <c r="BL1" i="4" s="1"/>
  <c r="BM1" i="4" s="1"/>
  <c r="BN1" i="4" s="1"/>
  <c r="BO1" i="4" s="1"/>
  <c r="BP1" i="4" s="1"/>
  <c r="BQ1" i="4" s="1"/>
  <c r="BR1" i="4" s="1"/>
  <c r="BS1" i="4" s="1"/>
  <c r="BT1" i="4" s="1"/>
  <c r="BU1" i="4" s="1"/>
  <c r="BV1" i="4" s="1"/>
  <c r="BW1" i="4" s="1"/>
  <c r="BX1" i="4" s="1"/>
  <c r="BY1" i="4" s="1"/>
  <c r="BZ1" i="4" s="1"/>
  <c r="CA1" i="4" s="1"/>
  <c r="CB1" i="4" s="1"/>
  <c r="CC1" i="4" s="1"/>
  <c r="CD1" i="4" s="1"/>
  <c r="CE1" i="4" s="1"/>
  <c r="CF1" i="4" s="1"/>
  <c r="CG1" i="4" s="1"/>
  <c r="CH1" i="4" s="1"/>
  <c r="CI1" i="4" s="1"/>
  <c r="CJ1" i="4" s="1"/>
  <c r="CK1" i="4" s="1"/>
  <c r="CL1" i="4" s="1"/>
  <c r="CM1" i="4" s="1"/>
  <c r="CN1" i="4" s="1"/>
  <c r="CO1" i="4" s="1"/>
  <c r="CP1" i="4" s="1"/>
  <c r="CQ1" i="4" s="1"/>
  <c r="CR1" i="4" s="1"/>
  <c r="CS1" i="4" s="1"/>
  <c r="CT1" i="4" s="1"/>
  <c r="CU1" i="4" s="1"/>
  <c r="CV1" i="4" s="1"/>
  <c r="CW1" i="4" s="1"/>
  <c r="CX1" i="4" s="1"/>
  <c r="CY1" i="4" s="1"/>
  <c r="CZ1" i="4" s="1"/>
  <c r="DA1" i="4" s="1"/>
  <c r="DB1" i="4" s="1"/>
  <c r="DC1" i="4" s="1"/>
  <c r="DD1" i="4" s="1"/>
  <c r="DE1" i="4" s="1"/>
  <c r="DF1" i="4" s="1"/>
  <c r="DG1" i="4" s="1"/>
  <c r="DH1" i="4" s="1"/>
  <c r="DI1" i="4" s="1"/>
  <c r="DJ1" i="4" s="1"/>
  <c r="DK1" i="4" s="1"/>
  <c r="DL1" i="4" s="1"/>
  <c r="DM1" i="4" s="1"/>
  <c r="DN1" i="4" s="1"/>
  <c r="DO1" i="4" s="1"/>
  <c r="DP1" i="4" s="1"/>
  <c r="DQ1" i="4" s="1"/>
  <c r="DR1" i="4" s="1"/>
  <c r="DS1" i="4" s="1"/>
  <c r="DT1" i="4" s="1"/>
  <c r="DU1" i="4" s="1"/>
  <c r="DV1" i="4" s="1"/>
  <c r="DW1" i="4" s="1"/>
  <c r="DX1" i="4" s="1"/>
  <c r="DY1" i="4" s="1"/>
  <c r="DZ1" i="4" s="1"/>
  <c r="EA1" i="4" s="1"/>
  <c r="EB1" i="4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3" i="1"/>
  <c r="B59" i="1" s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P1" i="3" s="1"/>
  <c r="CQ1" i="3" s="1"/>
  <c r="CR1" i="3" s="1"/>
  <c r="CS1" i="3" s="1"/>
  <c r="CT1" i="3" s="1"/>
  <c r="CU1" i="3" s="1"/>
  <c r="CV1" i="3" s="1"/>
  <c r="CW1" i="3" s="1"/>
  <c r="CX1" i="3" s="1"/>
  <c r="CY1" i="3" s="1"/>
  <c r="CZ1" i="3" s="1"/>
  <c r="DA1" i="3" s="1"/>
  <c r="DB1" i="3" s="1"/>
  <c r="DC1" i="3" s="1"/>
  <c r="DD1" i="3" s="1"/>
  <c r="DE1" i="3" s="1"/>
  <c r="DF1" i="3" s="1"/>
  <c r="DG1" i="3" s="1"/>
  <c r="DH1" i="3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 l="1"/>
</calcChain>
</file>

<file path=xl/sharedStrings.xml><?xml version="1.0" encoding="utf-8"?>
<sst xmlns="http://schemas.openxmlformats.org/spreadsheetml/2006/main" count="154" uniqueCount="53">
  <si>
    <t>Proyecto XYX</t>
  </si>
  <si>
    <t>Tiempo (horas)</t>
  </si>
  <si>
    <t>Grupo de Actividad 1</t>
  </si>
  <si>
    <t>Actividad 1.1</t>
  </si>
  <si>
    <t>Actividad 1.2</t>
  </si>
  <si>
    <t>Actividad 1.3</t>
  </si>
  <si>
    <t>Hito 1</t>
  </si>
  <si>
    <t>Grupo de Actividad 2</t>
  </si>
  <si>
    <t>Actividad 2.1</t>
  </si>
  <si>
    <t>Actividad 2.2</t>
  </si>
  <si>
    <t>Actividad 2.3</t>
  </si>
  <si>
    <t>Actividad 2.4</t>
  </si>
  <si>
    <t>Actividad 2.5</t>
  </si>
  <si>
    <t>Actividad 2.6</t>
  </si>
  <si>
    <t>Total</t>
  </si>
  <si>
    <t>Persona 1:</t>
  </si>
  <si>
    <t>Persona 2:</t>
  </si>
  <si>
    <t>Persona 3:</t>
  </si>
  <si>
    <t>Persona 4:</t>
  </si>
  <si>
    <t>Persona 5:</t>
  </si>
  <si>
    <t>Horas_dia</t>
  </si>
  <si>
    <t>Fecha_inicio</t>
  </si>
  <si>
    <t>/</t>
  </si>
  <si>
    <t>Time (hours)</t>
  </si>
  <si>
    <t>TOTAL</t>
  </si>
  <si>
    <t>*1</t>
  </si>
  <si>
    <t>T3: Suggest possible future improvements or developments.</t>
  </si>
  <si>
    <t>T1: Final report with documentation</t>
  </si>
  <si>
    <t>T1: Framework Analysis and Extension</t>
  </si>
  <si>
    <t>T2: GUI Adaptation for HIL Control.</t>
  </si>
  <si>
    <t>T3: HIL Test Case Logic Development.</t>
  </si>
  <si>
    <t>T4: Reporting System Enhancement.</t>
  </si>
  <si>
    <t>WP1: Development of the Control and Testing Software</t>
  </si>
  <si>
    <t>WP2: Design and Construction of the HIL Test Bench</t>
  </si>
  <si>
    <t>T1: Electrical Design and Schematics.</t>
  </si>
  <si>
    <t>T2:  Component Procurement and Physical Assembly.</t>
  </si>
  <si>
    <t>T3: Raspberry Pi Controller Scripting.</t>
  </si>
  <si>
    <t>T1:Software-Hardware System Integration.</t>
  </si>
  <si>
    <t>T2: Integrated Test Case Implementation and Execution.</t>
  </si>
  <si>
    <t>T3: Data Collection and Performance Analysis</t>
  </si>
  <si>
    <t>T2: Prepare Project Presentation.</t>
  </si>
  <si>
    <r>
      <t xml:space="preserve">Project: </t>
    </r>
    <r>
      <rPr>
        <b/>
        <sz val="10"/>
        <color theme="0"/>
        <rFont val="Arial"/>
        <family val="2"/>
      </rPr>
      <t>Design and Development of an Automated Test Bench for Robustness Testing of Teleprotection Equipment</t>
    </r>
    <r>
      <rPr>
        <b/>
        <sz val="14"/>
        <color theme="0"/>
        <rFont val="Arial"/>
        <family val="2"/>
      </rPr>
      <t xml:space="preserve"> </t>
    </r>
  </si>
  <si>
    <t>T6: Hardware Unit Testing and Debugging.</t>
  </si>
  <si>
    <t>T4: Optocoupler Interface &amp; Wiring Assembly</t>
  </si>
  <si>
    <t>T5: From RPI GPIO to lgpiod library</t>
  </si>
  <si>
    <t>WP3: Noise Injection System &amp; Advanced Testing (NEW)</t>
  </si>
  <si>
    <t>T1:Netstorm Integration</t>
  </si>
  <si>
    <t>T2: Analog Hardware</t>
  </si>
  <si>
    <t>T3: Test Logic</t>
  </si>
  <si>
    <t>WP5: Final review and report</t>
  </si>
  <si>
    <t>T4: Performance Tests with Noise Injection</t>
  </si>
  <si>
    <t>T4: Full software environment migration to RPI</t>
  </si>
  <si>
    <t>WP4: Final Integration and Validation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</si>
</sst>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yyyy\-mm\-dd;@"/>
  </numFmts>
  <fonts count="24" x14ac:knownFonts="1">
    <font>
      <sz val="10"/>
      <name val="Arial"/>
    </font>
    <font>
      <sz val="11"/>
      <name val="Arial"/>
    </font>
    <font>
      <b/>
      <sz val="11"/>
      <color indexed="9"/>
      <name val="Arial"/>
    </font>
    <font>
      <b/>
      <sz val="10"/>
      <color indexed="9"/>
      <name val="Arial"/>
    </font>
    <font>
      <sz val="9"/>
      <color indexed="9"/>
      <name val="Arial"/>
    </font>
    <font>
      <b/>
      <sz val="9"/>
      <color indexed="9"/>
      <name val="Arial"/>
    </font>
    <font>
      <sz val="9"/>
      <name val="Arial"/>
    </font>
    <font>
      <b/>
      <sz val="13"/>
      <color indexed="9"/>
      <name val="Arial"/>
    </font>
    <font>
      <b/>
      <sz val="16"/>
      <color theme="0"/>
      <name val="Arial"/>
    </font>
    <font>
      <sz val="11"/>
      <color theme="0"/>
      <name val="Arial"/>
    </font>
    <font>
      <b/>
      <sz val="12"/>
      <color theme="0"/>
      <name val="Arial"/>
    </font>
    <font>
      <b/>
      <sz val="11"/>
      <color theme="0"/>
      <name val="Arial"/>
    </font>
    <font>
      <sz val="10"/>
      <name val="Arial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0"/>
      <color indexed="9"/>
      <name val="Arial"/>
      <family val="2"/>
    </font>
    <font>
      <b/>
      <sz val="11"/>
      <color theme="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5664A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87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0" fontId="8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textRotation="75" wrapText="1"/>
    </xf>
    <xf numFmtId="164" fontId="9" fillId="5" borderId="0" xfId="0" applyNumberFormat="1" applyFont="1" applyFill="1" applyAlignment="1">
      <alignment horizontal="center" vertical="center" textRotation="75" wrapText="1"/>
    </xf>
    <xf numFmtId="0" fontId="10" fillId="6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right" vertical="center" wrapText="1"/>
    </xf>
    <xf numFmtId="0" fontId="3" fillId="5" borderId="0" xfId="0" applyFont="1" applyFill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7" fillId="8" borderId="0" xfId="0" applyFont="1" applyFill="1" applyAlignment="1">
      <alignment horizontal="right" vertical="center" wrapText="1"/>
    </xf>
    <xf numFmtId="0" fontId="9" fillId="6" borderId="0" xfId="0" applyFont="1" applyFill="1" applyAlignment="1">
      <alignment horizontal="right" vertical="center" wrapText="1"/>
    </xf>
    <xf numFmtId="0" fontId="11" fillId="2" borderId="0" xfId="0" applyFont="1" applyFill="1" applyAlignment="1">
      <alignment vertical="center" wrapText="1"/>
    </xf>
    <xf numFmtId="0" fontId="11" fillId="7" borderId="0" xfId="0" applyFont="1" applyFill="1" applyAlignment="1">
      <alignment horizontal="right" vertical="center"/>
    </xf>
    <xf numFmtId="0" fontId="0" fillId="0" borderId="1" xfId="0" applyBorder="1" applyAlignment="1">
      <alignment vertical="center"/>
    </xf>
    <xf numFmtId="0" fontId="10" fillId="9" borderId="0" xfId="0" applyFont="1" applyFill="1" applyAlignment="1">
      <alignment horizontal="right"/>
    </xf>
    <xf numFmtId="0" fontId="10" fillId="9" borderId="0" xfId="0" applyFont="1" applyFill="1"/>
    <xf numFmtId="2" fontId="6" fillId="0" borderId="1" xfId="0" applyNumberFormat="1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textRotation="75" wrapText="1"/>
    </xf>
    <xf numFmtId="164" fontId="9" fillId="5" borderId="2" xfId="0" applyNumberFormat="1" applyFont="1" applyFill="1" applyBorder="1" applyAlignment="1">
      <alignment horizontal="center" vertical="center" textRotation="75" wrapText="1"/>
    </xf>
    <xf numFmtId="164" fontId="9" fillId="5" borderId="4" xfId="0" applyNumberFormat="1" applyFont="1" applyFill="1" applyBorder="1" applyAlignment="1">
      <alignment horizontal="center" vertical="center" textRotation="75" wrapText="1"/>
    </xf>
    <xf numFmtId="0" fontId="14" fillId="6" borderId="5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6" xfId="0" applyBorder="1"/>
    <xf numFmtId="0" fontId="17" fillId="7" borderId="5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right" vertical="center" wrapText="1"/>
    </xf>
    <xf numFmtId="2" fontId="0" fillId="0" borderId="1" xfId="0" applyNumberFormat="1" applyBorder="1"/>
    <xf numFmtId="2" fontId="0" fillId="0" borderId="6" xfId="0" applyNumberFormat="1" applyBorder="1"/>
    <xf numFmtId="0" fontId="17" fillId="2" borderId="5" xfId="0" applyFont="1" applyFill="1" applyBorder="1" applyAlignment="1">
      <alignment vertical="center" wrapText="1"/>
    </xf>
    <xf numFmtId="0" fontId="16" fillId="6" borderId="5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right" vertical="center" wrapText="1"/>
    </xf>
    <xf numFmtId="0" fontId="9" fillId="6" borderId="6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horizontal="right" vertical="center"/>
    </xf>
    <xf numFmtId="0" fontId="15" fillId="6" borderId="1" xfId="0" applyFont="1" applyFill="1" applyBorder="1" applyAlignment="1">
      <alignment horizontal="right" vertical="center" wrapText="1"/>
    </xf>
    <xf numFmtId="0" fontId="20" fillId="3" borderId="7" xfId="0" applyFont="1" applyFill="1" applyBorder="1" applyAlignment="1">
      <alignment vertical="center" wrapText="1"/>
    </xf>
    <xf numFmtId="0" fontId="20" fillId="3" borderId="8" xfId="0" applyFont="1" applyFill="1" applyBorder="1"/>
    <xf numFmtId="0" fontId="0" fillId="0" borderId="8" xfId="0" applyBorder="1"/>
    <xf numFmtId="0" fontId="0" fillId="0" borderId="9" xfId="0" applyBorder="1"/>
    <xf numFmtId="0" fontId="3" fillId="11" borderId="1" xfId="0" applyFont="1" applyFill="1" applyBorder="1" applyAlignment="1">
      <alignment horizontal="center" vertical="center" wrapText="1"/>
    </xf>
    <xf numFmtId="0" fontId="0" fillId="11" borderId="8" xfId="0" applyFill="1" applyBorder="1"/>
    <xf numFmtId="0" fontId="0" fillId="11" borderId="0" xfId="0" applyFill="1"/>
    <xf numFmtId="0" fontId="0" fillId="10" borderId="1" xfId="0" applyFill="1" applyBorder="1" applyAlignment="1">
      <alignment vertical="center"/>
    </xf>
    <xf numFmtId="2" fontId="0" fillId="10" borderId="1" xfId="0" applyNumberFormat="1" applyFill="1" applyBorder="1" applyAlignment="1">
      <alignment vertical="center"/>
    </xf>
    <xf numFmtId="0" fontId="9" fillId="10" borderId="1" xfId="0" applyFont="1" applyFill="1" applyBorder="1" applyAlignment="1">
      <alignment horizontal="right" vertical="center" wrapText="1"/>
    </xf>
    <xf numFmtId="0" fontId="0" fillId="10" borderId="1" xfId="0" applyFill="1" applyBorder="1"/>
    <xf numFmtId="0" fontId="0" fillId="10" borderId="8" xfId="0" applyFill="1" applyBorder="1"/>
    <xf numFmtId="0" fontId="0" fillId="10" borderId="0" xfId="0" applyFill="1"/>
    <xf numFmtId="2" fontId="0" fillId="11" borderId="0" xfId="0" applyNumberFormat="1" applyFill="1"/>
    <xf numFmtId="0" fontId="0" fillId="11" borderId="1" xfId="0" applyFill="1" applyBorder="1" applyAlignment="1">
      <alignment vertical="center"/>
    </xf>
    <xf numFmtId="0" fontId="0" fillId="11" borderId="1" xfId="0" applyFill="1" applyBorder="1"/>
    <xf numFmtId="0" fontId="17" fillId="11" borderId="1" xfId="0" applyFont="1" applyFill="1" applyBorder="1" applyAlignment="1">
      <alignment horizontal="center" vertical="center" wrapText="1"/>
    </xf>
    <xf numFmtId="0" fontId="0" fillId="0" borderId="12" xfId="0" applyBorder="1"/>
    <xf numFmtId="0" fontId="19" fillId="0" borderId="9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2" fontId="22" fillId="12" borderId="1" xfId="0" applyNumberFormat="1" applyFont="1" applyFill="1" applyBorder="1" applyAlignment="1">
      <alignment horizontal="center" vertical="center" wrapText="1"/>
    </xf>
    <xf numFmtId="2" fontId="23" fillId="12" borderId="0" xfId="0" applyNumberFormat="1" applyFont="1" applyFill="1"/>
    <xf numFmtId="2" fontId="23" fillId="12" borderId="1" xfId="0" applyNumberFormat="1" applyFont="1" applyFill="1" applyBorder="1" applyAlignment="1">
      <alignment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2" fontId="3" fillId="11" borderId="1" xfId="0" applyNumberFormat="1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2" fontId="17" fillId="12" borderId="1" xfId="0" applyNumberFormat="1" applyFont="1" applyFill="1" applyBorder="1" applyAlignment="1">
      <alignment horizontal="center" vertical="center" wrapText="1"/>
    </xf>
    <xf numFmtId="2" fontId="3" fillId="12" borderId="1" xfId="0" applyNumberFormat="1" applyFont="1" applyFill="1" applyBorder="1" applyAlignment="1">
      <alignment horizontal="center" vertical="center" wrapText="1"/>
    </xf>
    <xf numFmtId="2" fontId="0" fillId="11" borderId="1" xfId="0" applyNumberFormat="1" applyFill="1" applyBorder="1"/>
    <xf numFmtId="2" fontId="0" fillId="11" borderId="1" xfId="0" applyNumberFormat="1" applyFill="1" applyBorder="1" applyAlignment="1">
      <alignment vertical="center"/>
    </xf>
    <xf numFmtId="2" fontId="3" fillId="0" borderId="1" xfId="0" applyNumberFormat="1" applyFont="1" applyBorder="1" applyAlignment="1">
      <alignment horizontal="center" vertical="center" wrapText="1"/>
    </xf>
    <xf numFmtId="2" fontId="9" fillId="10" borderId="1" xfId="0" applyNumberFormat="1" applyFont="1" applyFill="1" applyBorder="1" applyAlignment="1">
      <alignment horizontal="right" vertical="center" wrapText="1"/>
    </xf>
    <xf numFmtId="2" fontId="9" fillId="11" borderId="1" xfId="0" applyNumberFormat="1" applyFont="1" applyFill="1" applyBorder="1" applyAlignment="1">
      <alignment horizontal="right" vertical="center" wrapText="1"/>
    </xf>
    <xf numFmtId="2" fontId="3" fillId="10" borderId="1" xfId="0" applyNumberFormat="1" applyFont="1" applyFill="1" applyBorder="1" applyAlignment="1">
      <alignment horizontal="center" vertical="center" wrapText="1"/>
    </xf>
  </cellXfs>
  <cellStyles count="2">
    <cellStyle name="Euro" xfId="1" xr:uid="{46D502E1-FCBE-4C24-BCB2-2359BC2CE499}"/>
    <cellStyle name="Normal" xfId="0" builtinId="0"/>
  </cellStyles>
  <dxfs count="3">
    <dxf>
      <fill>
        <patternFill patternType="solid">
          <fgColor indexed="64"/>
          <bgColor rgb="FF95A3C6"/>
        </patternFill>
      </fill>
    </dxf>
    <dxf>
      <fill>
        <patternFill patternType="solid">
          <fgColor indexed="64"/>
          <bgColor rgb="FF95A3C6"/>
        </patternFill>
      </fill>
    </dxf>
    <dxf>
      <fill>
        <patternFill patternType="solid">
          <fgColor indexed="64"/>
          <bgColor rgb="FF95A3C6"/>
        </patternFill>
      </fill>
    </dxf>
  </dxfs>
  <tableStyles count="0" defaultTableStyle="TableStyleMedium2" defaultPivotStyle="PivotStyleLight16"/>
  <colors>
    <mruColors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0382-E226-42BA-BF48-A76619BF109C}">
  <sheetPr>
    <pageSetUpPr fitToPage="1"/>
  </sheetPr>
  <dimension ref="A1:EB28"/>
  <sheetViews>
    <sheetView tabSelected="1" zoomScale="85" zoomScaleNormal="85" workbookViewId="0">
      <pane xSplit="2" ySplit="1" topLeftCell="C2" activePane="bottomRight" state="frozen"/>
      <selection pane="topRight"/>
      <selection pane="bottomLeft"/>
      <selection pane="bottomRight" activeCell="DH26" sqref="DH26"/>
    </sheetView>
  </sheetViews>
  <sheetFormatPr baseColWidth="10" defaultColWidth="11.42578125" defaultRowHeight="12.75" x14ac:dyDescent="0.2"/>
  <cols>
    <col min="1" max="1" width="35" customWidth="1"/>
    <col min="2" max="2" width="9.42578125" customWidth="1"/>
    <col min="3" max="3" width="5.85546875" customWidth="1"/>
    <col min="4" max="5" width="5.7109375" customWidth="1"/>
    <col min="6" max="8" width="4.7109375" customWidth="1"/>
    <col min="9" max="12" width="5.7109375" customWidth="1"/>
    <col min="13" max="15" width="4.7109375" customWidth="1"/>
    <col min="16" max="19" width="5.7109375" customWidth="1"/>
    <col min="20" max="20" width="4.7109375" style="56" customWidth="1"/>
    <col min="21" max="22" width="4.7109375" customWidth="1"/>
    <col min="23" max="23" width="4.7109375" style="56" customWidth="1"/>
    <col min="24" max="27" width="5.7109375" customWidth="1"/>
    <col min="28" max="29" width="4.7109375" customWidth="1"/>
    <col min="30" max="32" width="5.7109375" customWidth="1"/>
    <col min="33" max="33" width="4.7109375" style="56" customWidth="1"/>
    <col min="34" max="36" width="4.7109375" customWidth="1"/>
    <col min="37" max="40" width="5.7109375" customWidth="1"/>
    <col min="41" max="43" width="4.7109375" customWidth="1"/>
    <col min="44" max="47" width="5.7109375" customWidth="1"/>
    <col min="48" max="50" width="4.7109375" customWidth="1"/>
    <col min="51" max="54" width="5.7109375" customWidth="1"/>
    <col min="55" max="55" width="4.7109375" customWidth="1"/>
    <col min="56" max="56" width="4.7109375" style="56" customWidth="1"/>
    <col min="57" max="57" width="4.7109375" customWidth="1"/>
    <col min="58" max="61" width="5.7109375" customWidth="1"/>
    <col min="62" max="64" width="4.7109375" customWidth="1"/>
    <col min="65" max="65" width="5.7109375" customWidth="1"/>
    <col min="66" max="66" width="5.7109375" style="62" customWidth="1"/>
    <col min="67" max="68" width="5.7109375" customWidth="1"/>
    <col min="69" max="71" width="4.7109375" customWidth="1"/>
    <col min="72" max="75" width="5.7109375" customWidth="1"/>
    <col min="76" max="78" width="4.7109375" customWidth="1"/>
    <col min="79" max="82" width="5.7109375" customWidth="1"/>
    <col min="83" max="84" width="4.7109375" style="62" customWidth="1"/>
    <col min="85" max="85" width="4.7109375" customWidth="1"/>
    <col min="86" max="89" width="5.7109375" customWidth="1"/>
    <col min="90" max="92" width="4.7109375" customWidth="1"/>
    <col min="93" max="94" width="5.7109375" customWidth="1"/>
    <col min="95" max="95" width="5.7109375" style="62" customWidth="1"/>
    <col min="96" max="96" width="5.7109375" customWidth="1"/>
    <col min="97" max="99" width="4.7109375" customWidth="1"/>
    <col min="100" max="110" width="5.7109375" customWidth="1"/>
    <col min="111" max="113" width="4.7109375" customWidth="1"/>
    <col min="114" max="117" width="5.7109375" customWidth="1"/>
    <col min="118" max="118" width="4.7109375" customWidth="1"/>
    <col min="119" max="119" width="4.5703125" customWidth="1"/>
    <col min="120" max="120" width="4.7109375" customWidth="1"/>
    <col min="121" max="121" width="5.7109375" customWidth="1"/>
    <col min="122" max="122" width="5" customWidth="1"/>
    <col min="123" max="123" width="5.7109375" customWidth="1"/>
    <col min="124" max="124" width="8.28515625" customWidth="1"/>
    <col min="125" max="132" width="5.7109375" customWidth="1"/>
  </cols>
  <sheetData>
    <row r="1" spans="1:132" s="2" customFormat="1" ht="87" customHeight="1" x14ac:dyDescent="0.2">
      <c r="A1" s="32" t="s">
        <v>41</v>
      </c>
      <c r="B1" s="33" t="s">
        <v>23</v>
      </c>
      <c r="C1" s="34">
        <f>Fecha_inicio</f>
        <v>45936</v>
      </c>
      <c r="D1" s="34">
        <f t="shared" ref="D1:BO1" si="0">C1+1</f>
        <v>45937</v>
      </c>
      <c r="E1" s="34">
        <f t="shared" si="0"/>
        <v>45938</v>
      </c>
      <c r="F1" s="34">
        <f t="shared" si="0"/>
        <v>45939</v>
      </c>
      <c r="G1" s="34">
        <f t="shared" si="0"/>
        <v>45940</v>
      </c>
      <c r="H1" s="34">
        <f t="shared" si="0"/>
        <v>45941</v>
      </c>
      <c r="I1" s="34">
        <f t="shared" si="0"/>
        <v>45942</v>
      </c>
      <c r="J1" s="34">
        <f t="shared" si="0"/>
        <v>45943</v>
      </c>
      <c r="K1" s="34">
        <f t="shared" si="0"/>
        <v>45944</v>
      </c>
      <c r="L1" s="34">
        <f t="shared" si="0"/>
        <v>45945</v>
      </c>
      <c r="M1" s="34">
        <f t="shared" si="0"/>
        <v>45946</v>
      </c>
      <c r="N1" s="34">
        <f t="shared" si="0"/>
        <v>45947</v>
      </c>
      <c r="O1" s="34">
        <f t="shared" si="0"/>
        <v>45948</v>
      </c>
      <c r="P1" s="34">
        <f t="shared" si="0"/>
        <v>45949</v>
      </c>
      <c r="Q1" s="34">
        <f t="shared" si="0"/>
        <v>45950</v>
      </c>
      <c r="R1" s="34">
        <f t="shared" si="0"/>
        <v>45951</v>
      </c>
      <c r="S1" s="34">
        <f t="shared" si="0"/>
        <v>45952</v>
      </c>
      <c r="T1" s="34">
        <f t="shared" si="0"/>
        <v>45953</v>
      </c>
      <c r="U1" s="34">
        <f t="shared" si="0"/>
        <v>45954</v>
      </c>
      <c r="V1" s="34">
        <f t="shared" si="0"/>
        <v>45955</v>
      </c>
      <c r="W1" s="34">
        <f t="shared" si="0"/>
        <v>45956</v>
      </c>
      <c r="X1" s="34">
        <f t="shared" si="0"/>
        <v>45957</v>
      </c>
      <c r="Y1" s="34">
        <f t="shared" si="0"/>
        <v>45958</v>
      </c>
      <c r="Z1" s="34">
        <f t="shared" si="0"/>
        <v>45959</v>
      </c>
      <c r="AA1" s="34">
        <f t="shared" si="0"/>
        <v>45960</v>
      </c>
      <c r="AB1" s="34">
        <f t="shared" si="0"/>
        <v>45961</v>
      </c>
      <c r="AC1" s="34">
        <f t="shared" si="0"/>
        <v>45962</v>
      </c>
      <c r="AD1" s="34">
        <f t="shared" si="0"/>
        <v>45963</v>
      </c>
      <c r="AE1" s="34">
        <f t="shared" si="0"/>
        <v>45964</v>
      </c>
      <c r="AF1" s="34">
        <f t="shared" si="0"/>
        <v>45965</v>
      </c>
      <c r="AG1" s="34">
        <f t="shared" si="0"/>
        <v>45966</v>
      </c>
      <c r="AH1" s="34">
        <f t="shared" si="0"/>
        <v>45967</v>
      </c>
      <c r="AI1" s="34">
        <f t="shared" si="0"/>
        <v>45968</v>
      </c>
      <c r="AJ1" s="34">
        <f t="shared" si="0"/>
        <v>45969</v>
      </c>
      <c r="AK1" s="34">
        <f t="shared" si="0"/>
        <v>45970</v>
      </c>
      <c r="AL1" s="34">
        <f t="shared" si="0"/>
        <v>45971</v>
      </c>
      <c r="AM1" s="34">
        <f t="shared" si="0"/>
        <v>45972</v>
      </c>
      <c r="AN1" s="34">
        <f t="shared" si="0"/>
        <v>45973</v>
      </c>
      <c r="AO1" s="34">
        <f t="shared" si="0"/>
        <v>45974</v>
      </c>
      <c r="AP1" s="34">
        <f t="shared" si="0"/>
        <v>45975</v>
      </c>
      <c r="AQ1" s="34">
        <f t="shared" si="0"/>
        <v>45976</v>
      </c>
      <c r="AR1" s="34">
        <f t="shared" si="0"/>
        <v>45977</v>
      </c>
      <c r="AS1" s="34">
        <f t="shared" si="0"/>
        <v>45978</v>
      </c>
      <c r="AT1" s="34">
        <f t="shared" si="0"/>
        <v>45979</v>
      </c>
      <c r="AU1" s="34">
        <f t="shared" si="0"/>
        <v>45980</v>
      </c>
      <c r="AV1" s="34">
        <f t="shared" si="0"/>
        <v>45981</v>
      </c>
      <c r="AW1" s="34">
        <f t="shared" si="0"/>
        <v>45982</v>
      </c>
      <c r="AX1" s="34">
        <f t="shared" si="0"/>
        <v>45983</v>
      </c>
      <c r="AY1" s="34">
        <f t="shared" si="0"/>
        <v>45984</v>
      </c>
      <c r="AZ1" s="34">
        <f t="shared" si="0"/>
        <v>45985</v>
      </c>
      <c r="BA1" s="34">
        <f t="shared" si="0"/>
        <v>45986</v>
      </c>
      <c r="BB1" s="34">
        <f t="shared" si="0"/>
        <v>45987</v>
      </c>
      <c r="BC1" s="34">
        <f t="shared" si="0"/>
        <v>45988</v>
      </c>
      <c r="BD1" s="34">
        <f t="shared" si="0"/>
        <v>45989</v>
      </c>
      <c r="BE1" s="34">
        <f t="shared" si="0"/>
        <v>45990</v>
      </c>
      <c r="BF1" s="34">
        <f t="shared" si="0"/>
        <v>45991</v>
      </c>
      <c r="BG1" s="34">
        <f t="shared" si="0"/>
        <v>45992</v>
      </c>
      <c r="BH1" s="34">
        <f t="shared" si="0"/>
        <v>45993</v>
      </c>
      <c r="BI1" s="34">
        <f t="shared" si="0"/>
        <v>45994</v>
      </c>
      <c r="BJ1" s="34">
        <f t="shared" si="0"/>
        <v>45995</v>
      </c>
      <c r="BK1" s="34">
        <f t="shared" si="0"/>
        <v>45996</v>
      </c>
      <c r="BL1" s="34">
        <f t="shared" si="0"/>
        <v>45997</v>
      </c>
      <c r="BM1" s="34">
        <f t="shared" si="0"/>
        <v>45998</v>
      </c>
      <c r="BN1" s="34">
        <f t="shared" si="0"/>
        <v>45999</v>
      </c>
      <c r="BO1" s="34">
        <f t="shared" si="0"/>
        <v>46000</v>
      </c>
      <c r="BP1" s="34">
        <f t="shared" ref="BP1:DH1" si="1">BO1+1</f>
        <v>46001</v>
      </c>
      <c r="BQ1" s="34">
        <f t="shared" si="1"/>
        <v>46002</v>
      </c>
      <c r="BR1" s="34">
        <f t="shared" si="1"/>
        <v>46003</v>
      </c>
      <c r="BS1" s="34">
        <f t="shared" si="1"/>
        <v>46004</v>
      </c>
      <c r="BT1" s="34">
        <f t="shared" si="1"/>
        <v>46005</v>
      </c>
      <c r="BU1" s="34">
        <f t="shared" si="1"/>
        <v>46006</v>
      </c>
      <c r="BV1" s="34">
        <f t="shared" si="1"/>
        <v>46007</v>
      </c>
      <c r="BW1" s="34">
        <f t="shared" si="1"/>
        <v>46008</v>
      </c>
      <c r="BX1" s="34">
        <f t="shared" si="1"/>
        <v>46009</v>
      </c>
      <c r="BY1" s="34">
        <f t="shared" si="1"/>
        <v>46010</v>
      </c>
      <c r="BZ1" s="34">
        <f t="shared" si="1"/>
        <v>46011</v>
      </c>
      <c r="CA1" s="34">
        <f t="shared" si="1"/>
        <v>46012</v>
      </c>
      <c r="CB1" s="34">
        <f t="shared" si="1"/>
        <v>46013</v>
      </c>
      <c r="CC1" s="34">
        <f t="shared" si="1"/>
        <v>46014</v>
      </c>
      <c r="CD1" s="34">
        <f t="shared" si="1"/>
        <v>46015</v>
      </c>
      <c r="CE1" s="34">
        <f t="shared" si="1"/>
        <v>46016</v>
      </c>
      <c r="CF1" s="34">
        <f t="shared" si="1"/>
        <v>46017</v>
      </c>
      <c r="CG1" s="34">
        <f t="shared" si="1"/>
        <v>46018</v>
      </c>
      <c r="CH1" s="34">
        <f t="shared" si="1"/>
        <v>46019</v>
      </c>
      <c r="CI1" s="34">
        <f t="shared" si="1"/>
        <v>46020</v>
      </c>
      <c r="CJ1" s="34">
        <f t="shared" si="1"/>
        <v>46021</v>
      </c>
      <c r="CK1" s="34">
        <f t="shared" si="1"/>
        <v>46022</v>
      </c>
      <c r="CL1" s="34">
        <f t="shared" si="1"/>
        <v>46023</v>
      </c>
      <c r="CM1" s="34">
        <f t="shared" si="1"/>
        <v>46024</v>
      </c>
      <c r="CN1" s="34">
        <f t="shared" si="1"/>
        <v>46025</v>
      </c>
      <c r="CO1" s="34">
        <f t="shared" si="1"/>
        <v>46026</v>
      </c>
      <c r="CP1" s="34">
        <f t="shared" si="1"/>
        <v>46027</v>
      </c>
      <c r="CQ1" s="34">
        <f t="shared" si="1"/>
        <v>46028</v>
      </c>
      <c r="CR1" s="34">
        <f t="shared" si="1"/>
        <v>46029</v>
      </c>
      <c r="CS1" s="34">
        <f t="shared" si="1"/>
        <v>46030</v>
      </c>
      <c r="CT1" s="34">
        <f t="shared" si="1"/>
        <v>46031</v>
      </c>
      <c r="CU1" s="34">
        <f t="shared" si="1"/>
        <v>46032</v>
      </c>
      <c r="CV1" s="34">
        <f t="shared" si="1"/>
        <v>46033</v>
      </c>
      <c r="CW1" s="34">
        <f t="shared" si="1"/>
        <v>46034</v>
      </c>
      <c r="CX1" s="34">
        <f t="shared" si="1"/>
        <v>46035</v>
      </c>
      <c r="CY1" s="34">
        <f t="shared" si="1"/>
        <v>46036</v>
      </c>
      <c r="CZ1" s="34">
        <f t="shared" si="1"/>
        <v>46037</v>
      </c>
      <c r="DA1" s="34">
        <f t="shared" si="1"/>
        <v>46038</v>
      </c>
      <c r="DB1" s="34">
        <f t="shared" si="1"/>
        <v>46039</v>
      </c>
      <c r="DC1" s="34">
        <f t="shared" si="1"/>
        <v>46040</v>
      </c>
      <c r="DD1" s="34">
        <f t="shared" si="1"/>
        <v>46041</v>
      </c>
      <c r="DE1" s="34">
        <f t="shared" si="1"/>
        <v>46042</v>
      </c>
      <c r="DF1" s="34">
        <f t="shared" si="1"/>
        <v>46043</v>
      </c>
      <c r="DG1" s="34">
        <f t="shared" si="1"/>
        <v>46044</v>
      </c>
      <c r="DH1" s="34">
        <f t="shared" si="1"/>
        <v>46045</v>
      </c>
      <c r="DI1" s="34">
        <f t="shared" ref="DI1" si="2">DH1+1</f>
        <v>46046</v>
      </c>
      <c r="DJ1" s="34">
        <f t="shared" ref="DJ1" si="3">DI1+1</f>
        <v>46047</v>
      </c>
      <c r="DK1" s="34">
        <f t="shared" ref="DK1" si="4">DJ1+1</f>
        <v>46048</v>
      </c>
      <c r="DL1" s="34">
        <f t="shared" ref="DL1" si="5">DK1+1</f>
        <v>46049</v>
      </c>
      <c r="DM1" s="34">
        <f t="shared" ref="DM1" si="6">DL1+1</f>
        <v>46050</v>
      </c>
      <c r="DN1" s="34">
        <f t="shared" ref="DN1" si="7">DM1+1</f>
        <v>46051</v>
      </c>
      <c r="DO1" s="34">
        <f t="shared" ref="DO1" si="8">DN1+1</f>
        <v>46052</v>
      </c>
      <c r="DP1" s="34">
        <f t="shared" ref="DP1" si="9">DO1+1</f>
        <v>46053</v>
      </c>
      <c r="DQ1" s="34">
        <f t="shared" ref="DQ1" si="10">DP1+1</f>
        <v>46054</v>
      </c>
      <c r="DR1" s="34">
        <f t="shared" ref="DR1" si="11">DQ1+1</f>
        <v>46055</v>
      </c>
      <c r="DS1" s="34">
        <f t="shared" ref="DS1" si="12">DR1+1</f>
        <v>46056</v>
      </c>
      <c r="DT1" s="34">
        <f t="shared" ref="DT1" si="13">DS1+1</f>
        <v>46057</v>
      </c>
      <c r="DU1" s="34">
        <f t="shared" ref="DU1" si="14">DT1+1</f>
        <v>46058</v>
      </c>
      <c r="DV1" s="34">
        <f t="shared" ref="DV1" si="15">DU1+1</f>
        <v>46059</v>
      </c>
      <c r="DW1" s="34">
        <f t="shared" ref="DW1" si="16">DV1+1</f>
        <v>46060</v>
      </c>
      <c r="DX1" s="34">
        <f t="shared" ref="DX1" si="17">DW1+1</f>
        <v>46061</v>
      </c>
      <c r="DY1" s="34">
        <f t="shared" ref="DY1" si="18">DX1+1</f>
        <v>46062</v>
      </c>
      <c r="DZ1" s="34">
        <f t="shared" ref="DZ1:EB1" si="19">DY1+1</f>
        <v>46063</v>
      </c>
      <c r="EA1" s="34">
        <f t="shared" si="19"/>
        <v>46064</v>
      </c>
      <c r="EB1" s="35">
        <f t="shared" si="19"/>
        <v>46065</v>
      </c>
    </row>
    <row r="2" spans="1:132" ht="31.9" customHeight="1" x14ac:dyDescent="0.2">
      <c r="A2" s="36" t="s">
        <v>32</v>
      </c>
      <c r="B2" s="37">
        <f>SUM(B3:B6)</f>
        <v>137.75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59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59"/>
      <c r="CF2" s="59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59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7"/>
    </row>
    <row r="3" spans="1:132" ht="36" customHeight="1" x14ac:dyDescent="0.2">
      <c r="A3" s="40" t="s">
        <v>28</v>
      </c>
      <c r="B3" s="41">
        <f>SUM(C3:DH3)</f>
        <v>43.5</v>
      </c>
      <c r="C3" s="79">
        <v>7.25</v>
      </c>
      <c r="D3" s="79">
        <v>7.25</v>
      </c>
      <c r="E3" s="79">
        <v>7.25</v>
      </c>
      <c r="F3" s="79">
        <v>7.25</v>
      </c>
      <c r="G3" s="79">
        <v>7.25</v>
      </c>
      <c r="H3" s="79"/>
      <c r="I3" s="79"/>
      <c r="J3" s="79">
        <v>7.25</v>
      </c>
      <c r="K3" s="79"/>
      <c r="L3" s="71"/>
      <c r="M3" s="71"/>
      <c r="N3" s="71"/>
      <c r="O3" s="71"/>
      <c r="P3" s="71"/>
      <c r="Q3" s="71"/>
      <c r="R3" s="71"/>
      <c r="S3" s="71"/>
      <c r="T3" s="79"/>
      <c r="U3" s="73"/>
      <c r="V3" s="73"/>
      <c r="W3" s="79"/>
      <c r="X3" s="73"/>
      <c r="Y3" s="73"/>
      <c r="Z3" s="73"/>
      <c r="AA3" s="73"/>
      <c r="AB3" s="23"/>
      <c r="AC3" s="23"/>
      <c r="AD3" s="23"/>
      <c r="AE3" s="23"/>
      <c r="AF3" s="23"/>
      <c r="AG3" s="54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54"/>
      <c r="BE3" s="23"/>
      <c r="BF3" s="23"/>
      <c r="BG3" s="23"/>
      <c r="BH3" s="23"/>
      <c r="BI3" s="23"/>
      <c r="BJ3" s="23"/>
      <c r="BK3" s="23"/>
      <c r="BL3" s="23"/>
      <c r="BM3" s="23"/>
      <c r="BN3" s="57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57"/>
      <c r="CF3" s="57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57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9"/>
    </row>
    <row r="4" spans="1:132" ht="19.149999999999999" customHeight="1" x14ac:dyDescent="0.2">
      <c r="A4" s="40" t="s">
        <v>29</v>
      </c>
      <c r="B4" s="41">
        <f>SUM(C4:EB4)</f>
        <v>43.5</v>
      </c>
      <c r="C4" s="79"/>
      <c r="D4" s="79"/>
      <c r="E4" s="79"/>
      <c r="F4" s="71"/>
      <c r="G4" s="79"/>
      <c r="H4" s="79"/>
      <c r="I4" s="79"/>
      <c r="J4" s="72"/>
      <c r="K4" s="79">
        <v>7.25</v>
      </c>
      <c r="L4" s="79">
        <v>7.25</v>
      </c>
      <c r="M4" s="79">
        <v>7.25</v>
      </c>
      <c r="N4" s="79">
        <v>7.25</v>
      </c>
      <c r="O4" s="79"/>
      <c r="P4" s="79"/>
      <c r="Q4" s="79">
        <v>7.25</v>
      </c>
      <c r="R4" s="79">
        <v>7.25</v>
      </c>
      <c r="S4" s="71"/>
      <c r="T4" s="79"/>
      <c r="U4" s="73"/>
      <c r="V4" s="73"/>
      <c r="W4" s="79"/>
      <c r="X4" s="73"/>
      <c r="Y4" s="73"/>
      <c r="Z4" s="73"/>
      <c r="AA4" s="73"/>
      <c r="AB4" s="23"/>
      <c r="AC4" s="23"/>
      <c r="AD4" s="23"/>
      <c r="AE4" s="23"/>
      <c r="AF4" s="23"/>
      <c r="AG4" s="54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54"/>
      <c r="BE4" s="23"/>
      <c r="BF4" s="23"/>
      <c r="BG4" s="23"/>
      <c r="BH4" s="23"/>
      <c r="BI4" s="23"/>
      <c r="BJ4" s="23"/>
      <c r="BK4" s="23"/>
      <c r="BL4" s="23"/>
      <c r="BM4" s="23"/>
      <c r="BN4" s="57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57"/>
      <c r="CF4" s="57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57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9"/>
    </row>
    <row r="5" spans="1:132" s="3" customFormat="1" ht="19.899999999999999" customHeight="1" x14ac:dyDescent="0.2">
      <c r="A5" s="40" t="s">
        <v>30</v>
      </c>
      <c r="B5" s="41">
        <f>SUM(C5:EB5)</f>
        <v>21.75</v>
      </c>
      <c r="C5" s="79"/>
      <c r="D5" s="79"/>
      <c r="E5" s="79"/>
      <c r="F5" s="71"/>
      <c r="G5" s="71"/>
      <c r="H5" s="71"/>
      <c r="I5" s="79"/>
      <c r="J5" s="79"/>
      <c r="K5" s="72"/>
      <c r="L5" s="79"/>
      <c r="M5" s="71"/>
      <c r="N5" s="79"/>
      <c r="O5" s="79"/>
      <c r="P5" s="79"/>
      <c r="Q5" s="71"/>
      <c r="R5" s="71"/>
      <c r="S5" s="79">
        <v>7.25</v>
      </c>
      <c r="T5" s="79">
        <v>7.25</v>
      </c>
      <c r="U5" s="79">
        <v>7.25</v>
      </c>
      <c r="V5" s="79"/>
      <c r="W5" s="79"/>
      <c r="X5" s="79"/>
      <c r="Y5" s="79"/>
      <c r="Z5" s="79"/>
      <c r="AA5" s="73"/>
      <c r="AB5" s="29"/>
      <c r="AC5" s="29"/>
      <c r="AD5" s="29"/>
      <c r="AE5" s="29"/>
      <c r="AF5" s="29"/>
      <c r="AG5" s="54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54"/>
      <c r="BE5" s="29"/>
      <c r="BF5" s="29"/>
      <c r="BG5" s="29"/>
      <c r="BH5" s="29"/>
      <c r="BI5" s="29"/>
      <c r="BJ5" s="29"/>
      <c r="BK5" s="29"/>
      <c r="BL5" s="29"/>
      <c r="BM5" s="29"/>
      <c r="BN5" s="58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58"/>
      <c r="CF5" s="58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58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3"/>
    </row>
    <row r="6" spans="1:132" s="3" customFormat="1" ht="21.6" customHeight="1" x14ac:dyDescent="0.2">
      <c r="A6" s="44" t="s">
        <v>31</v>
      </c>
      <c r="B6" s="41">
        <f>SUM(C6:EB6)</f>
        <v>29</v>
      </c>
      <c r="C6" s="71"/>
      <c r="D6" s="71"/>
      <c r="E6" s="71"/>
      <c r="F6" s="71"/>
      <c r="G6" s="71"/>
      <c r="H6" s="71"/>
      <c r="I6" s="72"/>
      <c r="J6" s="72"/>
      <c r="K6" s="79"/>
      <c r="L6" s="79"/>
      <c r="M6" s="71"/>
      <c r="N6" s="79"/>
      <c r="O6" s="79"/>
      <c r="P6" s="79"/>
      <c r="Q6" s="71"/>
      <c r="R6" s="71"/>
      <c r="S6" s="71"/>
      <c r="T6" s="79"/>
      <c r="U6" s="73"/>
      <c r="V6" s="73"/>
      <c r="W6" s="79"/>
      <c r="X6" s="79">
        <v>7.25</v>
      </c>
      <c r="Y6" s="79">
        <v>7.25</v>
      </c>
      <c r="Z6" s="79">
        <v>7.25</v>
      </c>
      <c r="AA6" s="79">
        <v>7.25</v>
      </c>
      <c r="AB6" s="54"/>
      <c r="AC6" s="54"/>
      <c r="AD6" s="54"/>
      <c r="AE6" s="54"/>
      <c r="AF6" s="29"/>
      <c r="AG6" s="54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54"/>
      <c r="BE6" s="29"/>
      <c r="BF6" s="29"/>
      <c r="BG6" s="29"/>
      <c r="BH6" s="29"/>
      <c r="BI6" s="29"/>
      <c r="BJ6" s="29"/>
      <c r="BK6" s="29"/>
      <c r="BL6" s="29"/>
      <c r="BM6" s="29"/>
      <c r="BN6" s="58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58"/>
      <c r="CF6" s="58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58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3"/>
    </row>
    <row r="7" spans="1:132" ht="31.9" customHeight="1" x14ac:dyDescent="0.2">
      <c r="A7" s="45" t="s">
        <v>33</v>
      </c>
      <c r="B7" s="37">
        <f>SUM(B8:B13)</f>
        <v>177.625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59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59"/>
      <c r="CF7" s="59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59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7"/>
    </row>
    <row r="8" spans="1:132" ht="22.15" customHeight="1" x14ac:dyDescent="0.2">
      <c r="A8" s="40" t="s">
        <v>34</v>
      </c>
      <c r="B8" s="48">
        <f>SUM(C8:EB8)</f>
        <v>36.25</v>
      </c>
      <c r="C8" s="16"/>
      <c r="D8" s="16"/>
      <c r="E8" s="16"/>
      <c r="F8" s="16"/>
      <c r="G8" s="23"/>
      <c r="H8" s="23"/>
      <c r="I8" s="23"/>
      <c r="J8" s="23"/>
      <c r="K8" s="23"/>
      <c r="L8" s="23"/>
      <c r="M8" s="23"/>
      <c r="N8" s="23"/>
      <c r="O8" s="23"/>
      <c r="P8" s="23"/>
      <c r="Q8" s="54"/>
      <c r="R8" s="54"/>
      <c r="S8" s="54"/>
      <c r="T8" s="54"/>
      <c r="U8" s="64"/>
      <c r="V8" s="64"/>
      <c r="W8" s="54"/>
      <c r="X8" s="54"/>
      <c r="Y8" s="54"/>
      <c r="Z8" s="54"/>
      <c r="AA8" s="64"/>
      <c r="AB8" s="80">
        <v>7.25</v>
      </c>
      <c r="AC8" s="80"/>
      <c r="AD8" s="80"/>
      <c r="AE8" s="80">
        <v>7.25</v>
      </c>
      <c r="AF8" s="80">
        <v>7.25</v>
      </c>
      <c r="AG8" s="80">
        <v>7.25</v>
      </c>
      <c r="AH8" s="80">
        <v>7.25</v>
      </c>
      <c r="AI8" s="77"/>
      <c r="AJ8" s="77"/>
      <c r="AK8" s="81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29"/>
      <c r="AW8" s="29"/>
      <c r="AX8" s="29"/>
      <c r="AY8" s="29"/>
      <c r="AZ8" s="29"/>
      <c r="BA8" s="29"/>
      <c r="BB8" s="29"/>
      <c r="BC8" s="29"/>
      <c r="BD8" s="77"/>
      <c r="BE8" s="29"/>
      <c r="BF8" s="29"/>
      <c r="BG8" s="29"/>
      <c r="BH8" s="29"/>
      <c r="BI8" s="29"/>
      <c r="BJ8" s="29"/>
      <c r="BK8" s="29"/>
      <c r="BL8" s="29"/>
      <c r="BM8" s="29"/>
      <c r="BN8" s="57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57"/>
      <c r="CF8" s="57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57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9"/>
    </row>
    <row r="9" spans="1:132" ht="36" customHeight="1" x14ac:dyDescent="0.2">
      <c r="A9" s="40" t="s">
        <v>35</v>
      </c>
      <c r="B9" s="48">
        <f>SUM(C9:EB9)</f>
        <v>43.5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30"/>
      <c r="Q9" s="54"/>
      <c r="R9" s="64"/>
      <c r="S9" s="54"/>
      <c r="T9" s="54"/>
      <c r="U9" s="64"/>
      <c r="V9" s="64"/>
      <c r="W9" s="54"/>
      <c r="X9" s="54"/>
      <c r="Y9" s="54"/>
      <c r="Z9" s="54"/>
      <c r="AA9" s="64"/>
      <c r="AB9" s="82"/>
      <c r="AC9" s="82"/>
      <c r="AD9" s="77"/>
      <c r="AE9" s="77"/>
      <c r="AF9" s="77"/>
      <c r="AG9" s="77"/>
      <c r="AH9" s="82"/>
      <c r="AI9" s="80">
        <v>7.25</v>
      </c>
      <c r="AJ9" s="80"/>
      <c r="AK9" s="80"/>
      <c r="AL9" s="80">
        <v>7.25</v>
      </c>
      <c r="AM9" s="80">
        <v>7.25</v>
      </c>
      <c r="AN9" s="80">
        <v>7.25</v>
      </c>
      <c r="AO9" s="80">
        <v>7.25</v>
      </c>
      <c r="AP9" s="80">
        <v>7.25</v>
      </c>
      <c r="AQ9" s="77"/>
      <c r="AR9" s="77"/>
      <c r="AS9" s="77"/>
      <c r="AT9" s="77"/>
      <c r="AU9" s="77"/>
      <c r="AV9" s="77"/>
      <c r="AW9" s="29"/>
      <c r="AX9" s="29"/>
      <c r="AY9" s="3"/>
      <c r="AZ9" s="3"/>
      <c r="BA9" s="3"/>
      <c r="BB9" s="3"/>
      <c r="BC9" s="29"/>
      <c r="BD9" s="77"/>
      <c r="BE9" s="29"/>
      <c r="BF9" s="83"/>
      <c r="BG9" s="83"/>
      <c r="BH9" s="83"/>
      <c r="BI9" s="83"/>
      <c r="BJ9" s="29"/>
      <c r="BK9" s="29"/>
      <c r="BL9" s="29"/>
      <c r="BM9" s="29"/>
      <c r="BN9" s="57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57"/>
      <c r="CF9" s="57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57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9"/>
    </row>
    <row r="10" spans="1:132" ht="18" customHeight="1" x14ac:dyDescent="0.2">
      <c r="A10" s="40" t="s">
        <v>36</v>
      </c>
      <c r="B10" s="48">
        <f>SUM(C10:EB10)</f>
        <v>43.5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54"/>
      <c r="R10" s="54"/>
      <c r="S10" s="54"/>
      <c r="T10" s="54"/>
      <c r="U10" s="64"/>
      <c r="V10" s="64"/>
      <c r="W10" s="54"/>
      <c r="X10" s="56"/>
      <c r="Y10" s="56"/>
      <c r="Z10" s="56"/>
      <c r="AA10" s="64"/>
      <c r="AB10" s="82"/>
      <c r="AC10" s="82"/>
      <c r="AD10" s="63"/>
      <c r="AE10" s="77"/>
      <c r="AF10" s="77"/>
      <c r="AG10" s="77"/>
      <c r="AH10" s="82"/>
      <c r="AI10" s="82"/>
      <c r="AJ10" s="82"/>
      <c r="AK10" s="77"/>
      <c r="AL10" s="77"/>
      <c r="AM10" s="77"/>
      <c r="AN10" s="77"/>
      <c r="AO10" s="82"/>
      <c r="AP10" s="82"/>
      <c r="AQ10" s="82"/>
      <c r="AR10" s="77"/>
      <c r="AS10" s="80">
        <v>7.25</v>
      </c>
      <c r="AT10" s="80">
        <v>7.25</v>
      </c>
      <c r="AU10" s="80">
        <v>7.25</v>
      </c>
      <c r="AV10" s="80">
        <v>7.25</v>
      </c>
      <c r="AW10" s="80">
        <v>7.25</v>
      </c>
      <c r="AX10" s="80"/>
      <c r="AY10" s="80"/>
      <c r="AZ10" s="80">
        <v>7.25</v>
      </c>
      <c r="BA10" s="3"/>
      <c r="BB10" s="3"/>
      <c r="BC10" s="29"/>
      <c r="BD10" s="77"/>
      <c r="BE10" s="29"/>
      <c r="BF10" s="3"/>
      <c r="BG10" s="3"/>
      <c r="BH10" s="3"/>
      <c r="BI10" s="3"/>
      <c r="BJ10" s="29"/>
      <c r="BK10" s="29"/>
      <c r="BL10" s="29"/>
      <c r="BM10" s="3"/>
      <c r="BQ10" s="23"/>
      <c r="BR10" s="23"/>
      <c r="BS10" s="23"/>
      <c r="BU10" s="30"/>
      <c r="BV10" s="30"/>
      <c r="BW10" s="30"/>
      <c r="BX10" s="23"/>
      <c r="BY10" s="23"/>
      <c r="BZ10" s="23"/>
      <c r="CA10" s="30"/>
      <c r="CB10" s="30"/>
      <c r="CC10" s="30"/>
      <c r="CD10" s="30"/>
      <c r="CE10" s="57"/>
      <c r="CF10" s="57"/>
      <c r="CG10" s="23"/>
      <c r="CH10" s="30"/>
      <c r="CI10" s="30"/>
      <c r="CJ10" s="30"/>
      <c r="CK10" s="30"/>
      <c r="CL10" s="23"/>
      <c r="CM10" s="23"/>
      <c r="CN10" s="23"/>
      <c r="CO10" s="30"/>
      <c r="CP10" s="30"/>
      <c r="CQ10" s="31"/>
      <c r="CR10" s="30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9"/>
    </row>
    <row r="11" spans="1:132" ht="31.9" customHeight="1" x14ac:dyDescent="0.2">
      <c r="A11" s="44" t="s">
        <v>43</v>
      </c>
      <c r="B11" s="48">
        <f>SUM(C11:EB11)</f>
        <v>10.875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64"/>
      <c r="R11" s="64"/>
      <c r="S11" s="64"/>
      <c r="T11" s="54"/>
      <c r="U11" s="64"/>
      <c r="V11" s="64"/>
      <c r="W11" s="54"/>
      <c r="X11" s="64"/>
      <c r="Y11" s="64"/>
      <c r="Z11" s="64"/>
      <c r="AA11" s="64"/>
      <c r="AB11" s="82"/>
      <c r="AC11" s="82"/>
      <c r="AD11" s="82"/>
      <c r="AE11" s="82"/>
      <c r="AF11" s="82"/>
      <c r="AG11" s="77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77"/>
      <c r="AS11" s="77"/>
      <c r="AT11" s="77"/>
      <c r="AU11" s="77"/>
      <c r="AV11" s="29"/>
      <c r="AW11" s="29"/>
      <c r="AX11" s="29"/>
      <c r="AY11" s="29"/>
      <c r="AZ11" s="29"/>
      <c r="BA11" s="77"/>
      <c r="BB11" s="77"/>
      <c r="BC11" s="77"/>
      <c r="BD11" s="77"/>
      <c r="BE11" s="77"/>
      <c r="BF11" s="77"/>
      <c r="BG11" s="77"/>
      <c r="BH11" s="3"/>
      <c r="BI11" s="76">
        <v>3.625</v>
      </c>
      <c r="BJ11" s="76">
        <v>3.625</v>
      </c>
      <c r="BK11" s="76">
        <v>3.625</v>
      </c>
      <c r="BL11" s="29"/>
      <c r="BM11" s="3"/>
      <c r="BQ11" s="23"/>
      <c r="BR11" s="23"/>
      <c r="BS11" s="23"/>
      <c r="BT11" s="30"/>
      <c r="BU11" s="30"/>
      <c r="BV11" s="30"/>
      <c r="BW11" s="30"/>
      <c r="BX11" s="23"/>
      <c r="BY11" s="23"/>
      <c r="BZ11" s="23"/>
      <c r="CA11" s="30"/>
      <c r="CB11" s="30"/>
      <c r="CC11" s="30"/>
      <c r="CD11" s="30"/>
      <c r="CE11" s="57"/>
      <c r="CF11" s="57"/>
      <c r="CG11" s="23"/>
      <c r="CH11" s="30"/>
      <c r="CI11" s="30"/>
      <c r="CJ11" s="30"/>
      <c r="CK11" s="30"/>
      <c r="CL11" s="23"/>
      <c r="CM11" s="23"/>
      <c r="CN11" s="23"/>
      <c r="CO11" s="30"/>
      <c r="CP11" s="23"/>
      <c r="CQ11" s="57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9"/>
    </row>
    <row r="12" spans="1:132" ht="31.9" customHeight="1" x14ac:dyDescent="0.2">
      <c r="A12" s="44" t="s">
        <v>44</v>
      </c>
      <c r="B12" s="48">
        <f>SUM(C12:EB12)</f>
        <v>21.75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64"/>
      <c r="R12" s="64"/>
      <c r="S12" s="64"/>
      <c r="T12" s="54"/>
      <c r="U12" s="64"/>
      <c r="V12" s="64"/>
      <c r="W12" s="54"/>
      <c r="X12" s="64"/>
      <c r="Y12" s="64"/>
      <c r="Z12" s="64"/>
      <c r="AA12" s="64"/>
      <c r="AB12" s="82"/>
      <c r="AC12" s="82"/>
      <c r="AD12" s="82"/>
      <c r="AE12" s="82"/>
      <c r="AF12" s="82"/>
      <c r="AG12" s="77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77"/>
      <c r="AS12" s="77"/>
      <c r="AT12" s="77"/>
      <c r="AU12" s="77"/>
      <c r="AV12" s="29"/>
      <c r="AW12" s="29"/>
      <c r="AX12" s="29"/>
      <c r="AY12" s="29"/>
      <c r="AZ12" s="29"/>
      <c r="BA12" s="80">
        <v>7.25</v>
      </c>
      <c r="BB12" s="80">
        <v>7.25</v>
      </c>
      <c r="BC12" s="80">
        <v>7.25</v>
      </c>
      <c r="BD12" s="77"/>
      <c r="BE12" s="77"/>
      <c r="BF12" s="77"/>
      <c r="BG12" s="77"/>
      <c r="BH12" s="77"/>
      <c r="BI12" s="3"/>
      <c r="BJ12" s="29"/>
      <c r="BK12" s="29"/>
      <c r="BL12" s="29"/>
      <c r="BM12" s="3"/>
      <c r="BQ12" s="23"/>
      <c r="BR12" s="23"/>
      <c r="BS12" s="23"/>
      <c r="BT12" s="30"/>
      <c r="BU12" s="30"/>
      <c r="BV12" s="30"/>
      <c r="BW12" s="30"/>
      <c r="BX12" s="23"/>
      <c r="BY12" s="23"/>
      <c r="BZ12" s="23"/>
      <c r="CA12" s="30"/>
      <c r="CB12" s="30"/>
      <c r="CC12" s="30"/>
      <c r="CD12" s="30"/>
      <c r="CE12" s="57"/>
      <c r="CF12" s="57"/>
      <c r="CG12" s="23"/>
      <c r="CH12" s="30"/>
      <c r="CI12" s="30"/>
      <c r="CJ12" s="30"/>
      <c r="CK12" s="30"/>
      <c r="CL12" s="23"/>
      <c r="CM12" s="23"/>
      <c r="CN12" s="23"/>
      <c r="CO12" s="30"/>
      <c r="CP12" s="23"/>
      <c r="CQ12" s="57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9"/>
    </row>
    <row r="13" spans="1:132" ht="31.9" customHeight="1" x14ac:dyDescent="0.2">
      <c r="A13" s="44" t="s">
        <v>42</v>
      </c>
      <c r="B13" s="48">
        <f>SUM(C13:EB13)</f>
        <v>21.75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64"/>
      <c r="R13" s="64"/>
      <c r="S13" s="64"/>
      <c r="T13" s="54"/>
      <c r="U13" s="64"/>
      <c r="V13" s="64"/>
      <c r="W13" s="54"/>
      <c r="X13" s="64"/>
      <c r="Y13" s="64"/>
      <c r="Z13" s="64"/>
      <c r="AA13" s="64"/>
      <c r="AB13" s="82"/>
      <c r="AC13" s="82"/>
      <c r="AD13" s="82"/>
      <c r="AE13" s="82"/>
      <c r="AF13" s="82"/>
      <c r="AG13" s="77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77"/>
      <c r="AS13" s="77"/>
      <c r="AT13" s="77"/>
      <c r="AU13" s="77"/>
      <c r="AV13" s="29"/>
      <c r="AW13" s="29"/>
      <c r="AX13" s="29"/>
      <c r="AY13" s="29"/>
      <c r="AZ13" s="29"/>
      <c r="BA13" s="77"/>
      <c r="BB13" s="77"/>
      <c r="BC13" s="77"/>
      <c r="BD13" s="77"/>
      <c r="BE13" s="77"/>
      <c r="BF13" s="77"/>
      <c r="BG13" s="76">
        <v>3.625</v>
      </c>
      <c r="BH13" s="76">
        <v>3.625</v>
      </c>
      <c r="BI13" s="3"/>
      <c r="BJ13" s="29"/>
      <c r="BK13" s="29"/>
      <c r="BL13" s="29"/>
      <c r="BM13" s="3"/>
      <c r="BQ13" s="23"/>
      <c r="BR13" s="23"/>
      <c r="BS13" s="23"/>
      <c r="BT13" s="30"/>
      <c r="BV13" s="30"/>
      <c r="BW13" s="12">
        <v>3.625</v>
      </c>
      <c r="BX13" s="12">
        <v>3.625</v>
      </c>
      <c r="BY13" s="12">
        <v>3.625</v>
      </c>
      <c r="BZ13" s="23"/>
      <c r="CA13" s="30"/>
      <c r="CB13" s="12">
        <v>3.625</v>
      </c>
      <c r="CC13" s="30"/>
      <c r="CD13" s="30"/>
      <c r="CE13" s="57"/>
      <c r="CF13" s="57"/>
      <c r="CG13" s="23"/>
      <c r="CH13" s="30"/>
      <c r="CI13" s="30"/>
      <c r="CJ13" s="30"/>
      <c r="CK13" s="30"/>
      <c r="CL13" s="23"/>
      <c r="CM13" s="23"/>
      <c r="CN13" s="23"/>
      <c r="CO13" s="30"/>
      <c r="CP13" s="23"/>
      <c r="CQ13" s="57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9"/>
    </row>
    <row r="14" spans="1:132" ht="31.9" customHeight="1" x14ac:dyDescent="0.2">
      <c r="A14" s="45" t="s">
        <v>45</v>
      </c>
      <c r="B14" s="37">
        <f>SUM(B15:B18)</f>
        <v>97.875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59"/>
      <c r="BO14" s="46"/>
      <c r="BP14" s="46"/>
      <c r="BQ14" s="46"/>
      <c r="BR14" s="46"/>
      <c r="BS14" s="46"/>
      <c r="BT14" s="46"/>
      <c r="BU14" s="75"/>
      <c r="BV14" s="46"/>
      <c r="BW14" s="46"/>
      <c r="BX14" s="46"/>
      <c r="BY14" s="46"/>
      <c r="BZ14" s="46"/>
      <c r="CA14" s="46"/>
      <c r="CB14" s="46"/>
      <c r="CC14" s="46"/>
      <c r="CD14" s="46"/>
      <c r="CE14" s="59"/>
      <c r="CF14" s="59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59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7"/>
    </row>
    <row r="15" spans="1:132" ht="31.15" customHeight="1" x14ac:dyDescent="0.2">
      <c r="A15" s="40" t="s">
        <v>46</v>
      </c>
      <c r="B15" s="48">
        <f>SUM(C15:EB15)</f>
        <v>18.125</v>
      </c>
      <c r="C15" s="16"/>
      <c r="D15" s="16"/>
      <c r="E15" s="16"/>
      <c r="F15" s="16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30"/>
      <c r="S15" s="30"/>
      <c r="T15" s="54"/>
      <c r="U15" s="38"/>
      <c r="V15" s="38"/>
      <c r="W15" s="54"/>
      <c r="X15" s="38"/>
      <c r="Y15" s="38"/>
      <c r="Z15" s="38"/>
      <c r="AA15" s="38"/>
      <c r="AB15" s="38"/>
      <c r="AC15" s="38"/>
      <c r="AD15" s="38"/>
      <c r="AE15" s="38"/>
      <c r="AF15" s="38"/>
      <c r="AG15" s="54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54"/>
      <c r="AZ15" s="54"/>
      <c r="BA15" s="54"/>
      <c r="BB15" s="77"/>
      <c r="BC15" s="81"/>
      <c r="BD15" s="76">
        <v>7.25</v>
      </c>
      <c r="BE15" s="77"/>
      <c r="BF15" s="77"/>
      <c r="BG15" s="76">
        <v>3.625</v>
      </c>
      <c r="BH15" s="76">
        <v>3.625</v>
      </c>
      <c r="BI15" s="76">
        <v>3.625</v>
      </c>
      <c r="BJ15" s="77"/>
      <c r="BK15" s="77"/>
      <c r="BL15" s="77"/>
      <c r="BM15" s="77"/>
      <c r="BN15" s="84"/>
      <c r="BO15" s="77"/>
      <c r="BP15" s="77"/>
      <c r="BQ15" s="77"/>
      <c r="BR15" s="77"/>
      <c r="BS15" s="77"/>
      <c r="BT15" s="77"/>
      <c r="BU15" s="85"/>
      <c r="BV15" s="77"/>
      <c r="BW15" s="77"/>
      <c r="BX15" s="77"/>
      <c r="BY15" s="42"/>
      <c r="BZ15" s="42"/>
      <c r="CA15" s="42"/>
      <c r="CB15" s="42"/>
      <c r="CC15" s="83"/>
      <c r="CD15" s="83"/>
      <c r="CE15" s="60"/>
      <c r="CF15" s="60"/>
      <c r="CG15" s="38"/>
      <c r="CH15" s="30"/>
      <c r="CI15" s="30"/>
      <c r="CJ15" s="30"/>
      <c r="CK15" s="30"/>
      <c r="CL15" s="38"/>
      <c r="CM15" s="38"/>
      <c r="CN15" s="38"/>
      <c r="CO15" s="30"/>
      <c r="CP15" s="30"/>
      <c r="CQ15" s="31"/>
      <c r="CR15" s="30"/>
      <c r="CS15" s="38"/>
      <c r="CT15" s="38"/>
      <c r="CU15" s="38"/>
      <c r="CV15" s="30"/>
      <c r="CW15" s="30"/>
      <c r="CX15" s="30"/>
      <c r="CY15" s="30"/>
      <c r="CZ15" s="38"/>
      <c r="DA15" s="38"/>
      <c r="DB15" s="38"/>
      <c r="DC15" s="30"/>
      <c r="DD15" s="30"/>
      <c r="DE15" s="30"/>
      <c r="DF15" s="30"/>
      <c r="DG15" s="38"/>
      <c r="DH15" s="38"/>
      <c r="DI15" s="38"/>
      <c r="DJ15" s="30"/>
      <c r="DK15" s="30"/>
      <c r="DL15" s="30"/>
      <c r="DM15" s="30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9"/>
    </row>
    <row r="16" spans="1:132" ht="31.9" customHeight="1" x14ac:dyDescent="0.2">
      <c r="A16" s="40" t="s">
        <v>47</v>
      </c>
      <c r="B16" s="48">
        <f>SUM(C16:EB16)</f>
        <v>21.75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30"/>
      <c r="Q16" s="30"/>
      <c r="R16" s="23"/>
      <c r="S16" s="23"/>
      <c r="T16" s="54"/>
      <c r="U16" s="38"/>
      <c r="V16" s="38"/>
      <c r="W16" s="54"/>
      <c r="X16" s="38"/>
      <c r="Y16" s="38"/>
      <c r="Z16" s="38"/>
      <c r="AA16" s="38"/>
      <c r="AB16" s="38"/>
      <c r="AC16" s="38"/>
      <c r="AD16" s="38"/>
      <c r="AE16" s="38"/>
      <c r="AF16" s="38"/>
      <c r="AG16" s="54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54"/>
      <c r="AZ16" s="54"/>
      <c r="BA16" s="54"/>
      <c r="BB16" s="77"/>
      <c r="BC16" s="81"/>
      <c r="BD16" s="77"/>
      <c r="BE16" s="81"/>
      <c r="BF16" s="77"/>
      <c r="BG16" s="77"/>
      <c r="BH16" s="3"/>
      <c r="BI16" s="3"/>
      <c r="BJ16" s="76">
        <v>3.625</v>
      </c>
      <c r="BK16" s="76">
        <v>3.625</v>
      </c>
      <c r="BL16" s="81"/>
      <c r="BM16" s="77"/>
      <c r="BN16" s="86"/>
      <c r="BO16" s="76">
        <v>7.25</v>
      </c>
      <c r="BP16" s="76">
        <v>7.25</v>
      </c>
      <c r="BQ16" s="81"/>
      <c r="BR16" s="81"/>
      <c r="BS16" s="81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F16" s="60"/>
      <c r="CG16" s="54"/>
      <c r="CH16" s="54"/>
      <c r="CI16" s="54"/>
      <c r="CL16" s="38"/>
      <c r="CM16" s="38"/>
      <c r="CN16" s="38"/>
      <c r="CO16" s="30"/>
      <c r="CP16" s="30"/>
      <c r="CQ16" s="31"/>
      <c r="CR16" s="30"/>
      <c r="CS16" s="38"/>
      <c r="CT16" s="38"/>
      <c r="CU16" s="38"/>
      <c r="CV16" s="30"/>
      <c r="CW16" s="30"/>
      <c r="CX16" s="30"/>
      <c r="CY16" s="30"/>
      <c r="CZ16" s="38"/>
      <c r="DA16" s="38"/>
      <c r="DB16" s="38"/>
      <c r="DC16" s="30"/>
      <c r="DD16" s="30"/>
      <c r="DE16" s="30"/>
      <c r="DF16" s="30"/>
      <c r="DG16" s="38"/>
      <c r="DH16" s="38"/>
      <c r="DI16" s="38"/>
      <c r="DJ16" s="30"/>
      <c r="DK16" s="30"/>
      <c r="DL16" s="30"/>
      <c r="DM16" s="30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9"/>
    </row>
    <row r="17" spans="1:132" ht="31.9" customHeight="1" x14ac:dyDescent="0.2">
      <c r="A17" s="40" t="s">
        <v>48</v>
      </c>
      <c r="B17" s="48">
        <f>SUM(C17:EB17)</f>
        <v>29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30"/>
      <c r="Q17" s="30"/>
      <c r="R17" s="23"/>
      <c r="S17" s="23"/>
      <c r="T17" s="54"/>
      <c r="U17" s="38"/>
      <c r="V17" s="38"/>
      <c r="W17" s="54"/>
      <c r="X17" s="38"/>
      <c r="Y17" s="38"/>
      <c r="Z17" s="38"/>
      <c r="AA17" s="38"/>
      <c r="AB17" s="38"/>
      <c r="AC17" s="38"/>
      <c r="AD17" s="38"/>
      <c r="AE17" s="38"/>
      <c r="AF17" s="38"/>
      <c r="AG17" s="54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BB17" s="3"/>
      <c r="BC17" s="42"/>
      <c r="BD17" s="77"/>
      <c r="BE17" s="42"/>
      <c r="BF17" s="29"/>
      <c r="BG17" s="29"/>
      <c r="BH17" s="29"/>
      <c r="BI17" s="83"/>
      <c r="BJ17" s="42"/>
      <c r="BK17" s="77"/>
      <c r="BL17" s="42"/>
      <c r="BM17" s="83"/>
      <c r="BN17" s="86"/>
      <c r="BO17" s="3"/>
      <c r="BP17" s="3"/>
      <c r="BQ17" s="76">
        <v>7.25</v>
      </c>
      <c r="BR17" s="76">
        <v>7.25</v>
      </c>
      <c r="BS17" s="42"/>
      <c r="BT17" s="42"/>
      <c r="BU17" s="76">
        <v>7.25</v>
      </c>
      <c r="BV17" s="76">
        <v>7.25</v>
      </c>
      <c r="BW17" s="83"/>
      <c r="BX17" s="42"/>
      <c r="BY17" s="42"/>
      <c r="BZ17" s="42"/>
      <c r="CA17" s="83"/>
      <c r="CB17" s="83"/>
      <c r="CC17" s="83"/>
      <c r="CD17" s="83"/>
      <c r="CE17" s="60"/>
      <c r="CF17" s="60"/>
      <c r="CG17" s="38"/>
      <c r="CH17" s="54"/>
      <c r="CI17" s="54"/>
      <c r="CJ17" s="54"/>
      <c r="CK17" s="54"/>
      <c r="CL17" s="54"/>
      <c r="CM17" s="54"/>
      <c r="CN17" s="54"/>
      <c r="CO17" s="54"/>
      <c r="CP17" s="54"/>
      <c r="CQ17" s="31"/>
      <c r="CR17" s="54"/>
      <c r="CS17" s="54"/>
      <c r="CT17" s="54"/>
      <c r="CU17" s="38"/>
      <c r="CV17" s="30"/>
      <c r="CW17" s="30"/>
      <c r="CX17" s="30"/>
      <c r="CY17" s="30"/>
      <c r="CZ17" s="38"/>
      <c r="DA17" s="38"/>
      <c r="DB17" s="38"/>
      <c r="DC17" s="30"/>
      <c r="DD17" s="30"/>
      <c r="DE17" s="30"/>
      <c r="DF17" s="30"/>
      <c r="DG17" s="38"/>
      <c r="DH17" s="38"/>
      <c r="DI17" s="38"/>
      <c r="DJ17" s="30"/>
      <c r="DK17" s="30"/>
      <c r="DL17" s="30"/>
      <c r="DM17" s="30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9"/>
    </row>
    <row r="18" spans="1:132" ht="31.9" customHeight="1" x14ac:dyDescent="0.2">
      <c r="A18" s="40" t="s">
        <v>50</v>
      </c>
      <c r="B18" s="48">
        <f>SUM(C18:EB18)</f>
        <v>29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30"/>
      <c r="Q18" s="30"/>
      <c r="R18" s="23"/>
      <c r="S18" s="23"/>
      <c r="T18" s="54"/>
      <c r="U18" s="38"/>
      <c r="V18" s="38"/>
      <c r="W18" s="54"/>
      <c r="X18" s="38"/>
      <c r="Y18" s="38"/>
      <c r="Z18" s="38"/>
      <c r="AA18" s="38"/>
      <c r="AB18" s="38"/>
      <c r="AC18" s="38"/>
      <c r="AD18" s="38"/>
      <c r="AE18" s="38"/>
      <c r="AF18" s="38"/>
      <c r="AG18" s="54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BB18" s="3"/>
      <c r="BC18" s="42"/>
      <c r="BD18" s="77"/>
      <c r="BE18" s="42"/>
      <c r="BF18" s="29"/>
      <c r="BG18" s="29"/>
      <c r="BH18" s="29"/>
      <c r="BI18" s="83"/>
      <c r="BJ18" s="42"/>
      <c r="BK18" s="42"/>
      <c r="BL18" s="42"/>
      <c r="BM18" s="83"/>
      <c r="BN18" s="86"/>
      <c r="BO18" s="77"/>
      <c r="BP18" s="77"/>
      <c r="BQ18" s="3"/>
      <c r="BR18" s="3"/>
      <c r="BS18" s="42"/>
      <c r="BT18" s="42"/>
      <c r="BU18" s="3"/>
      <c r="BV18" s="3"/>
      <c r="BW18" s="76">
        <v>3.625</v>
      </c>
      <c r="BX18" s="76">
        <v>3.625</v>
      </c>
      <c r="BY18" s="76">
        <v>3.625</v>
      </c>
      <c r="BZ18" s="42"/>
      <c r="CA18" s="83"/>
      <c r="CB18" s="76">
        <v>3.625</v>
      </c>
      <c r="CC18" s="76">
        <v>7.25</v>
      </c>
      <c r="CD18" s="76">
        <v>7.25</v>
      </c>
      <c r="CE18" s="60"/>
      <c r="CF18" s="60"/>
      <c r="CG18" s="38"/>
      <c r="CH18" s="54"/>
      <c r="CI18" s="54"/>
      <c r="CJ18" s="54"/>
      <c r="CK18" s="54"/>
      <c r="CL18" s="54"/>
      <c r="CM18" s="54"/>
      <c r="CN18" s="54"/>
      <c r="CO18" s="54"/>
      <c r="CP18" s="54"/>
      <c r="CQ18" s="31"/>
      <c r="CR18" s="54"/>
      <c r="CS18" s="54"/>
      <c r="CT18" s="54"/>
      <c r="CU18" s="38"/>
      <c r="CV18" s="30"/>
      <c r="CW18" s="30"/>
      <c r="CX18" s="30"/>
      <c r="CY18" s="30"/>
      <c r="CZ18" s="38"/>
      <c r="DA18" s="38"/>
      <c r="DB18" s="38"/>
      <c r="DC18" s="30"/>
      <c r="DD18" s="30"/>
      <c r="DE18" s="30"/>
      <c r="DF18" s="30"/>
      <c r="DG18" s="38"/>
      <c r="DH18" s="38"/>
      <c r="DI18" s="38"/>
      <c r="DJ18" s="30"/>
      <c r="DK18" s="30"/>
      <c r="DL18" s="30"/>
      <c r="DM18" s="30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9"/>
    </row>
    <row r="19" spans="1:132" ht="31.9" customHeight="1" x14ac:dyDescent="0.2">
      <c r="A19" s="45" t="s">
        <v>52</v>
      </c>
      <c r="B19" s="37">
        <f>SUM(B20:B23)</f>
        <v>43.5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59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59"/>
      <c r="CF19" s="59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59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7"/>
    </row>
    <row r="20" spans="1:132" ht="31.15" customHeight="1" x14ac:dyDescent="0.2">
      <c r="A20" s="40" t="s">
        <v>37</v>
      </c>
      <c r="B20" s="48">
        <f>SUM(C20:EB20)</f>
        <v>0</v>
      </c>
      <c r="C20" s="16"/>
      <c r="D20" s="16"/>
      <c r="E20" s="16"/>
      <c r="F20" s="16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30"/>
      <c r="S20" s="30"/>
      <c r="T20" s="54"/>
      <c r="U20" s="38"/>
      <c r="V20" s="38"/>
      <c r="W20" s="54"/>
      <c r="X20" s="38"/>
      <c r="Y20" s="38"/>
      <c r="Z20" s="38"/>
      <c r="AA20" s="38"/>
      <c r="AB20" s="38"/>
      <c r="AC20" s="38"/>
      <c r="AD20" s="38"/>
      <c r="AE20" s="38"/>
      <c r="AF20" s="38"/>
      <c r="AG20" s="54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54"/>
      <c r="AZ20" s="54"/>
      <c r="BA20" s="54"/>
      <c r="BB20" s="54"/>
      <c r="BC20" s="65"/>
      <c r="BD20" s="54"/>
      <c r="BE20" s="65"/>
      <c r="BF20" s="54"/>
      <c r="BG20" s="65"/>
      <c r="BH20" s="65"/>
      <c r="BI20" s="74"/>
      <c r="BJ20" s="74"/>
      <c r="BK20" s="74"/>
      <c r="BL20" s="54"/>
      <c r="BM20" s="54"/>
      <c r="BN20" s="59"/>
      <c r="BO20" s="74"/>
      <c r="BP20" s="74"/>
      <c r="BQ20" s="74"/>
      <c r="BR20" s="74"/>
      <c r="BS20" s="54"/>
      <c r="BT20" s="54"/>
      <c r="BU20" s="74"/>
      <c r="BV20" s="54"/>
      <c r="BW20" s="54"/>
      <c r="BX20" s="54"/>
      <c r="BY20" s="38"/>
      <c r="BZ20" s="38"/>
      <c r="CA20" s="38"/>
      <c r="CB20" s="38"/>
      <c r="CC20" s="30"/>
      <c r="CD20" s="30"/>
      <c r="CE20" s="60"/>
      <c r="CF20" s="60"/>
      <c r="CG20" s="38"/>
      <c r="CH20" s="30"/>
      <c r="CI20" s="30"/>
      <c r="CJ20" s="30"/>
      <c r="CK20" s="30"/>
      <c r="CL20" s="38"/>
      <c r="CM20" s="38"/>
      <c r="CN20" s="38"/>
      <c r="CO20" s="30"/>
      <c r="CP20" s="30"/>
      <c r="CQ20" s="31"/>
      <c r="CR20" s="30"/>
      <c r="CS20" s="38"/>
      <c r="CT20" s="38"/>
      <c r="CU20" s="38"/>
      <c r="CV20" s="30"/>
      <c r="CW20" s="30"/>
      <c r="CX20" s="30"/>
      <c r="CY20" s="30"/>
      <c r="CZ20" s="38"/>
      <c r="DA20" s="38"/>
      <c r="DB20" s="38"/>
      <c r="DC20" s="30"/>
      <c r="DD20" s="30"/>
      <c r="DE20" s="30"/>
      <c r="DF20" s="30"/>
      <c r="DG20" s="38"/>
      <c r="DH20" s="38"/>
      <c r="DI20" s="38"/>
      <c r="DJ20" s="30"/>
      <c r="DK20" s="30"/>
      <c r="DL20" s="30"/>
      <c r="DM20" s="30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9"/>
    </row>
    <row r="21" spans="1:132" ht="31.9" customHeight="1" x14ac:dyDescent="0.2">
      <c r="A21" s="40" t="s">
        <v>38</v>
      </c>
      <c r="B21" s="48">
        <f>SUM(C21:EB21)</f>
        <v>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30"/>
      <c r="Q21" s="30"/>
      <c r="R21" s="23"/>
      <c r="S21" s="23"/>
      <c r="T21" s="54"/>
      <c r="U21" s="38"/>
      <c r="V21" s="38"/>
      <c r="W21" s="54"/>
      <c r="X21" s="38"/>
      <c r="Y21" s="38"/>
      <c r="Z21" s="38"/>
      <c r="AA21" s="38"/>
      <c r="AB21" s="38"/>
      <c r="AC21" s="38"/>
      <c r="AD21" s="38"/>
      <c r="AE21" s="38"/>
      <c r="AF21" s="38"/>
      <c r="AG21" s="54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54"/>
      <c r="AZ21" s="54"/>
      <c r="BA21" s="54"/>
      <c r="BB21" s="54"/>
      <c r="BC21" s="65"/>
      <c r="BD21" s="54"/>
      <c r="BE21" s="65"/>
      <c r="BF21" s="54"/>
      <c r="BG21" s="54"/>
      <c r="BH21" s="54"/>
      <c r="BI21" s="54"/>
      <c r="BJ21" s="65"/>
      <c r="BK21" s="65"/>
      <c r="BL21" s="65"/>
      <c r="BM21" s="54"/>
      <c r="BN21" s="31"/>
      <c r="BO21" s="54"/>
      <c r="BP21" s="54"/>
      <c r="BQ21" s="65"/>
      <c r="BR21" s="65"/>
      <c r="BS21" s="65"/>
      <c r="BT21" s="54"/>
      <c r="BU21" s="54"/>
      <c r="BV21" s="74"/>
      <c r="BW21" s="74"/>
      <c r="BX21" s="74"/>
      <c r="BY21" s="74"/>
      <c r="BZ21" s="54"/>
      <c r="CA21" s="54"/>
      <c r="CB21" s="74"/>
      <c r="CC21" s="74"/>
      <c r="CD21" s="74"/>
      <c r="CF21" s="60"/>
      <c r="CG21" s="54"/>
      <c r="CH21" s="54"/>
      <c r="CI21" s="74"/>
      <c r="CL21" s="38"/>
      <c r="CM21" s="38"/>
      <c r="CN21" s="38"/>
      <c r="CO21" s="30"/>
      <c r="CP21" s="30"/>
      <c r="CQ21" s="31"/>
      <c r="CR21" s="30"/>
      <c r="CS21" s="38"/>
      <c r="CT21" s="38"/>
      <c r="CU21" s="38"/>
      <c r="CV21" s="30"/>
      <c r="CW21" s="30"/>
      <c r="CX21" s="30"/>
      <c r="CY21" s="30"/>
      <c r="CZ21" s="38"/>
      <c r="DA21" s="38"/>
      <c r="DB21" s="38"/>
      <c r="DC21" s="30"/>
      <c r="DD21" s="30"/>
      <c r="DE21" s="30"/>
      <c r="DF21" s="30"/>
      <c r="DG21" s="38"/>
      <c r="DH21" s="38"/>
      <c r="DI21" s="38"/>
      <c r="DJ21" s="30"/>
      <c r="DK21" s="30"/>
      <c r="DL21" s="30"/>
      <c r="DM21" s="30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9"/>
    </row>
    <row r="22" spans="1:132" ht="31.9" customHeight="1" x14ac:dyDescent="0.2">
      <c r="A22" s="40" t="s">
        <v>39</v>
      </c>
      <c r="B22" s="48">
        <f>SUM(C22:EB22)</f>
        <v>0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30"/>
      <c r="Q22" s="30"/>
      <c r="R22" s="23"/>
      <c r="S22" s="23"/>
      <c r="T22" s="54"/>
      <c r="U22" s="38"/>
      <c r="V22" s="38"/>
      <c r="W22" s="54"/>
      <c r="X22" s="38"/>
      <c r="Y22" s="38"/>
      <c r="Z22" s="38"/>
      <c r="AA22" s="38"/>
      <c r="AB22" s="38"/>
      <c r="AC22" s="38"/>
      <c r="AD22" s="38"/>
      <c r="AE22" s="38"/>
      <c r="AF22" s="38"/>
      <c r="AG22" s="54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BC22" s="38"/>
      <c r="BD22" s="54"/>
      <c r="BE22" s="38"/>
      <c r="BF22" s="23"/>
      <c r="BG22" s="23"/>
      <c r="BH22" s="23"/>
      <c r="BI22" s="30"/>
      <c r="BJ22" s="38"/>
      <c r="BK22" s="38"/>
      <c r="BL22" s="38"/>
      <c r="BM22" s="30"/>
      <c r="BN22" s="31"/>
      <c r="BO22" s="30"/>
      <c r="BP22" s="30"/>
      <c r="BQ22" s="38"/>
      <c r="BR22" s="38"/>
      <c r="BS22" s="38"/>
      <c r="BT22" s="38"/>
      <c r="BU22" s="30"/>
      <c r="BV22" s="30"/>
      <c r="BW22" s="30"/>
      <c r="BX22" s="38"/>
      <c r="BY22" s="38"/>
      <c r="BZ22" s="38"/>
      <c r="CA22" s="30"/>
      <c r="CB22" s="30"/>
      <c r="CC22" s="30"/>
      <c r="CD22" s="30"/>
      <c r="CE22" s="60"/>
      <c r="CF22" s="60"/>
      <c r="CG22" s="38"/>
      <c r="CH22" s="54"/>
      <c r="CI22" s="54"/>
      <c r="CJ22" s="74"/>
      <c r="CK22" s="74"/>
      <c r="CL22" s="74"/>
      <c r="CM22" s="74"/>
      <c r="CN22" s="54"/>
      <c r="CO22" s="54"/>
      <c r="CP22" s="74"/>
      <c r="CQ22" s="31"/>
      <c r="CR22" s="74"/>
      <c r="CS22" s="74"/>
      <c r="CT22" s="74"/>
      <c r="CU22" s="38"/>
      <c r="CV22" s="30"/>
      <c r="CW22" s="30"/>
      <c r="CX22" s="30"/>
      <c r="CY22" s="30"/>
      <c r="CZ22" s="38"/>
      <c r="DA22" s="38"/>
      <c r="DB22" s="38"/>
      <c r="DC22" s="30"/>
      <c r="DD22" s="30"/>
      <c r="DE22" s="30"/>
      <c r="DF22" s="30"/>
      <c r="DG22" s="38"/>
      <c r="DH22" s="38"/>
      <c r="DI22" s="38"/>
      <c r="DJ22" s="30"/>
      <c r="DK22" s="30"/>
      <c r="DL22" s="30"/>
      <c r="DM22" s="30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9"/>
    </row>
    <row r="23" spans="1:132" ht="31.9" customHeight="1" x14ac:dyDescent="0.2">
      <c r="A23" s="40" t="s">
        <v>51</v>
      </c>
      <c r="B23" s="48">
        <f>SUM(C23:EB23)</f>
        <v>43.5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30"/>
      <c r="Q23" s="30"/>
      <c r="R23" s="23"/>
      <c r="S23" s="23"/>
      <c r="T23" s="54"/>
      <c r="U23" s="38"/>
      <c r="V23" s="38"/>
      <c r="W23" s="54"/>
      <c r="X23" s="38"/>
      <c r="Y23" s="38"/>
      <c r="Z23" s="38"/>
      <c r="AA23" s="38"/>
      <c r="AB23" s="38"/>
      <c r="AC23" s="38"/>
      <c r="AD23" s="38"/>
      <c r="AE23" s="38"/>
      <c r="AF23" s="38"/>
      <c r="AG23" s="54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BC23" s="38"/>
      <c r="BD23" s="54"/>
      <c r="BE23" s="38"/>
      <c r="BF23" s="23"/>
      <c r="BG23" s="23"/>
      <c r="BH23" s="23"/>
      <c r="BI23" s="30"/>
      <c r="BJ23" s="38"/>
      <c r="BK23" s="38"/>
      <c r="BL23" s="38"/>
      <c r="BM23" s="30"/>
      <c r="BN23" s="31"/>
      <c r="BO23" s="30"/>
      <c r="BP23" s="30"/>
      <c r="BQ23" s="38"/>
      <c r="BR23" s="38"/>
      <c r="BS23" s="38"/>
      <c r="BT23" s="38"/>
      <c r="BU23" s="30"/>
      <c r="BV23" s="30"/>
      <c r="BW23" s="30"/>
      <c r="BX23" s="38"/>
      <c r="BY23" s="38"/>
      <c r="BZ23" s="38"/>
      <c r="CA23" s="30"/>
      <c r="CB23" s="30"/>
      <c r="CC23" s="30"/>
      <c r="CD23" s="30"/>
      <c r="CE23" s="60"/>
      <c r="CF23" s="60"/>
      <c r="CG23" s="38"/>
      <c r="CH23" s="54"/>
      <c r="CI23" s="12">
        <v>7.25</v>
      </c>
      <c r="CJ23" s="12">
        <v>7.25</v>
      </c>
      <c r="CK23" s="12">
        <v>7.25</v>
      </c>
      <c r="CL23" s="12">
        <v>7.25</v>
      </c>
      <c r="CM23" s="12">
        <v>7.25</v>
      </c>
      <c r="CN23" s="54"/>
      <c r="CO23" s="54"/>
      <c r="CP23" s="12">
        <v>7.25</v>
      </c>
      <c r="CQ23" s="31"/>
      <c r="CR23" s="74"/>
      <c r="CS23" s="74"/>
      <c r="CT23" s="74"/>
      <c r="CU23" s="38"/>
      <c r="CV23" s="30"/>
      <c r="CW23" s="30"/>
      <c r="CX23" s="30"/>
      <c r="CY23" s="30"/>
      <c r="CZ23" s="38"/>
      <c r="DA23" s="38"/>
      <c r="DB23" s="38"/>
      <c r="DC23" s="30"/>
      <c r="DD23" s="30"/>
      <c r="DE23" s="30"/>
      <c r="DF23" s="30"/>
      <c r="DG23" s="38"/>
      <c r="DH23" s="38"/>
      <c r="DI23" s="38"/>
      <c r="DJ23" s="30"/>
      <c r="DK23" s="30"/>
      <c r="DL23" s="30"/>
      <c r="DM23" s="30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9"/>
    </row>
    <row r="24" spans="1:132" ht="19.149999999999999" customHeight="1" x14ac:dyDescent="0.2">
      <c r="A24" s="45" t="s">
        <v>49</v>
      </c>
      <c r="B24" s="37">
        <f>SUM(B25:B27)</f>
        <v>83.25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59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59"/>
      <c r="CF24" s="59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59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9" t="s">
        <v>25</v>
      </c>
      <c r="DS24" s="49" t="s">
        <v>25</v>
      </c>
      <c r="DT24" s="46"/>
      <c r="DU24" s="46"/>
      <c r="DV24" s="46"/>
      <c r="DW24" s="46"/>
      <c r="DX24" s="46"/>
      <c r="DY24" s="46"/>
      <c r="DZ24" s="46"/>
      <c r="EA24" s="46"/>
      <c r="EB24" s="47"/>
    </row>
    <row r="25" spans="1:132" ht="19.149999999999999" customHeight="1" x14ac:dyDescent="0.2">
      <c r="A25" s="40" t="s">
        <v>27</v>
      </c>
      <c r="B25" s="48">
        <f>SUM(C25:EB25)</f>
        <v>47.125</v>
      </c>
      <c r="C25" s="16"/>
      <c r="D25" s="16"/>
      <c r="E25" s="16"/>
      <c r="F25" s="16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30"/>
      <c r="S25" s="30"/>
      <c r="T25" s="54"/>
      <c r="U25" s="38"/>
      <c r="V25" s="38"/>
      <c r="W25" s="54"/>
      <c r="X25" s="38"/>
      <c r="Y25" s="38"/>
      <c r="Z25" s="38"/>
      <c r="AA25" s="38"/>
      <c r="AB25" s="38"/>
      <c r="AC25" s="38"/>
      <c r="AD25" s="38"/>
      <c r="AE25" s="38"/>
      <c r="AF25" s="38"/>
      <c r="AG25" s="54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54"/>
      <c r="BE25" s="38"/>
      <c r="BF25" s="38"/>
      <c r="BG25" s="38"/>
      <c r="BH25" s="38"/>
      <c r="BI25" s="38"/>
      <c r="BJ25" s="38"/>
      <c r="BK25" s="38"/>
      <c r="BL25" s="38"/>
      <c r="BM25" s="38"/>
      <c r="BN25" s="60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60"/>
      <c r="CF25" s="60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60"/>
      <c r="CR25" s="12">
        <v>3.625</v>
      </c>
      <c r="CS25" s="12">
        <v>3.625</v>
      </c>
      <c r="CT25" s="12">
        <v>3.625</v>
      </c>
      <c r="CU25" s="38"/>
      <c r="CV25" s="38"/>
      <c r="CW25" s="12">
        <v>7.25</v>
      </c>
      <c r="CX25" s="12">
        <v>7.25</v>
      </c>
      <c r="CY25" s="12">
        <v>7.25</v>
      </c>
      <c r="CZ25" s="12">
        <v>7.25</v>
      </c>
      <c r="DA25" s="12">
        <v>7.25</v>
      </c>
      <c r="DB25" s="54"/>
      <c r="DC25" s="54"/>
      <c r="DF25" s="54"/>
      <c r="DG25" s="54"/>
      <c r="DH25" s="38"/>
      <c r="DI25" s="38"/>
      <c r="DJ25" s="38"/>
      <c r="DK25" s="30"/>
      <c r="DL25" s="54"/>
      <c r="DM25" s="54"/>
      <c r="DN25" s="65"/>
      <c r="DO25" s="65"/>
      <c r="DP25" s="65"/>
      <c r="DQ25" s="54"/>
      <c r="DR25" s="66"/>
      <c r="DS25" s="66"/>
      <c r="DT25" s="38"/>
      <c r="DU25" s="38"/>
      <c r="DV25" s="38"/>
      <c r="DW25" s="38"/>
      <c r="DX25" s="38"/>
      <c r="DY25" s="38"/>
      <c r="DZ25" s="38"/>
      <c r="EA25" s="38"/>
      <c r="EB25" s="39"/>
    </row>
    <row r="26" spans="1:132" ht="22.9" customHeight="1" x14ac:dyDescent="0.2">
      <c r="A26" s="40" t="s">
        <v>40</v>
      </c>
      <c r="B26" s="48">
        <f>SUM(C26:EB26)</f>
        <v>25.25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30"/>
      <c r="Q26" s="30"/>
      <c r="R26" s="23"/>
      <c r="S26" s="23"/>
      <c r="T26" s="54"/>
      <c r="U26" s="38"/>
      <c r="V26" s="38"/>
      <c r="W26" s="54"/>
      <c r="X26" s="38"/>
      <c r="Y26" s="38"/>
      <c r="Z26" s="38"/>
      <c r="AA26" s="38"/>
      <c r="AB26" s="38"/>
      <c r="AC26" s="38"/>
      <c r="AD26" s="38"/>
      <c r="AE26" s="38"/>
      <c r="AF26" s="38"/>
      <c r="AG26" s="54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54"/>
      <c r="BE26" s="38"/>
      <c r="BF26" s="38"/>
      <c r="BG26" s="38"/>
      <c r="BH26" s="38"/>
      <c r="BI26" s="38"/>
      <c r="BJ26" s="38"/>
      <c r="BK26" s="38"/>
      <c r="BL26" s="38"/>
      <c r="BM26" s="38"/>
      <c r="BN26" s="60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60"/>
      <c r="CF26" s="60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60"/>
      <c r="CR26" s="38"/>
      <c r="CS26" s="38"/>
      <c r="CT26" s="38"/>
      <c r="CU26" s="38"/>
      <c r="CV26" s="38"/>
      <c r="CW26" s="38"/>
      <c r="CX26" s="38"/>
      <c r="CY26" s="38"/>
      <c r="DB26" s="38"/>
      <c r="DC26" s="38"/>
      <c r="DD26" s="12">
        <v>7.25</v>
      </c>
      <c r="DE26" s="12">
        <v>7.25</v>
      </c>
      <c r="DF26" s="12">
        <v>7.25</v>
      </c>
      <c r="DG26" s="12">
        <v>3.5</v>
      </c>
      <c r="DH26" s="54"/>
      <c r="DI26" s="38"/>
      <c r="DJ26" s="38"/>
      <c r="DK26" s="30"/>
      <c r="DL26" s="54"/>
      <c r="DM26" s="54"/>
      <c r="DN26" s="65"/>
      <c r="DO26" s="65"/>
      <c r="DP26" s="65"/>
      <c r="DQ26" s="54"/>
      <c r="DR26" s="54"/>
      <c r="DS26" s="65"/>
      <c r="DT26" s="38"/>
      <c r="DU26" s="38"/>
      <c r="DV26" s="38"/>
      <c r="DW26" s="38"/>
      <c r="DX26" s="38"/>
      <c r="DY26" s="38"/>
      <c r="DZ26" s="38"/>
      <c r="EA26" s="38"/>
      <c r="EB26" s="39"/>
    </row>
    <row r="27" spans="1:132" ht="31.9" customHeight="1" x14ac:dyDescent="0.2">
      <c r="A27" s="40" t="s">
        <v>26</v>
      </c>
      <c r="B27" s="48">
        <f>SUM(C27:EB27)</f>
        <v>10.875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54"/>
      <c r="U27" s="38"/>
      <c r="V27" s="38"/>
      <c r="W27" s="54"/>
      <c r="X27" s="38"/>
      <c r="Y27" s="38"/>
      <c r="Z27" s="38"/>
      <c r="AA27" s="38"/>
      <c r="AB27" s="38"/>
      <c r="AC27" s="38"/>
      <c r="AD27" s="38"/>
      <c r="AE27" s="38"/>
      <c r="AF27" s="38"/>
      <c r="AG27" s="54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54"/>
      <c r="BE27" s="38"/>
      <c r="BF27" s="38"/>
      <c r="BG27" s="38"/>
      <c r="BH27" s="38"/>
      <c r="BI27" s="38"/>
      <c r="BJ27" s="38"/>
      <c r="BK27" s="38"/>
      <c r="BL27" s="38"/>
      <c r="BM27" s="38"/>
      <c r="BN27" s="60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60"/>
      <c r="CF27" s="60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60"/>
      <c r="CR27" s="12">
        <v>3.625</v>
      </c>
      <c r="CS27" s="12">
        <v>3.625</v>
      </c>
      <c r="CT27" s="12">
        <v>3.625</v>
      </c>
      <c r="CU27" s="38"/>
      <c r="CV27" s="38"/>
      <c r="CW27" s="38"/>
      <c r="CX27" s="38"/>
      <c r="CY27" s="38"/>
      <c r="CZ27" s="38"/>
      <c r="DB27" s="38"/>
      <c r="DC27" s="38"/>
      <c r="DD27" s="38"/>
      <c r="DE27" s="38"/>
      <c r="DF27" s="38"/>
      <c r="DG27" s="54"/>
      <c r="DH27" s="78"/>
      <c r="DI27" s="38"/>
      <c r="DJ27" s="38"/>
      <c r="DK27" s="30"/>
      <c r="DL27" s="54"/>
      <c r="DM27" s="54"/>
      <c r="DN27" s="65"/>
      <c r="DO27" s="65"/>
      <c r="DP27" s="65"/>
      <c r="DQ27" s="54"/>
      <c r="DR27" s="54"/>
      <c r="DS27" s="54"/>
      <c r="DT27" s="38"/>
      <c r="DU27" s="38"/>
      <c r="DV27" s="38"/>
      <c r="DW27" s="38"/>
      <c r="DX27" s="38"/>
      <c r="DY27" s="38"/>
      <c r="DZ27" s="38"/>
      <c r="EA27" s="38"/>
      <c r="EB27" s="39"/>
    </row>
    <row r="28" spans="1:132" ht="23.45" customHeight="1" x14ac:dyDescent="0.25">
      <c r="A28" s="50" t="s">
        <v>24</v>
      </c>
      <c r="B28" s="51">
        <f>SUM(B2,B7,B14,B19,B24)</f>
        <v>540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5"/>
      <c r="U28" s="52"/>
      <c r="V28" s="52"/>
      <c r="W28" s="55"/>
      <c r="X28" s="52"/>
      <c r="Y28" s="52"/>
      <c r="Z28" s="52"/>
      <c r="AA28" s="52"/>
      <c r="AB28" s="52"/>
      <c r="AC28" s="52"/>
      <c r="AD28" s="52"/>
      <c r="AE28" s="52"/>
      <c r="AF28" s="52"/>
      <c r="AG28" s="55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5"/>
      <c r="BE28" s="52"/>
      <c r="BF28" s="52"/>
      <c r="BG28" s="52"/>
      <c r="BH28" s="52"/>
      <c r="BI28" s="52"/>
      <c r="BJ28" s="52"/>
      <c r="BK28" s="52"/>
      <c r="BL28" s="52"/>
      <c r="BM28" s="52"/>
      <c r="BN28" s="61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61"/>
      <c r="CF28" s="61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61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67"/>
      <c r="DI28" s="52"/>
      <c r="DJ28" s="52"/>
      <c r="DN28" s="68"/>
      <c r="DO28" s="69"/>
      <c r="DP28" s="69"/>
      <c r="DQ28" s="69"/>
      <c r="DR28" s="69"/>
      <c r="DS28" s="69"/>
      <c r="DT28" s="69"/>
      <c r="DU28" s="70"/>
      <c r="DW28" s="52"/>
      <c r="DX28" s="52"/>
      <c r="DY28" s="52"/>
      <c r="DZ28" s="52"/>
      <c r="EA28" s="52"/>
      <c r="EB28" s="53"/>
    </row>
  </sheetData>
  <mergeCells count="1">
    <mergeCell ref="DN28:DU28"/>
  </mergeCells>
  <conditionalFormatting sqref="C1:EB1">
    <cfRule type="expression" dxfId="2" priority="1">
      <formula>OR(WEEKDAY(C1)=7,WEEKDAY(C1)=1)</formula>
    </cfRule>
  </conditionalFormatting>
  <printOptions horizontalCentered="1" verticalCentered="1"/>
  <pageMargins left="7.874015748031496E-2" right="7.874015748031496E-2" top="7.874015748031496E-2" bottom="7.874015748031496E-2" header="0" footer="0"/>
  <pageSetup paperSize="9" scale="64" fitToWidth="0" orientation="landscape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B001-34BB-45CD-8C89-D4BBBC60FC7B}">
  <sheetPr>
    <pageSetUpPr fitToPage="1"/>
  </sheetPr>
  <dimension ref="A1:IV59"/>
  <sheetViews>
    <sheetView workbookViewId="0">
      <pane xSplit="2" ySplit="1" topLeftCell="C2" activePane="bottomRight" state="frozen"/>
      <selection pane="topRight"/>
      <selection pane="bottomLeft"/>
      <selection pane="bottomRight" activeCell="B113" sqref="B113"/>
    </sheetView>
  </sheetViews>
  <sheetFormatPr baseColWidth="10" defaultColWidth="11.42578125" defaultRowHeight="12.75" x14ac:dyDescent="0.2"/>
  <cols>
    <col min="1" max="1" width="31.28515625" customWidth="1"/>
    <col min="2" max="2" width="11.7109375" bestFit="1" customWidth="1"/>
    <col min="3" max="3" width="5.85546875" customWidth="1"/>
    <col min="4" max="112" width="5.7109375" customWidth="1"/>
  </cols>
  <sheetData>
    <row r="1" spans="1:256" s="2" customFormat="1" ht="87" customHeight="1" x14ac:dyDescent="0.2">
      <c r="A1" s="4" t="s">
        <v>0</v>
      </c>
      <c r="B1" s="5" t="s">
        <v>1</v>
      </c>
      <c r="C1" s="6">
        <f>Fecha_inicio</f>
        <v>45936</v>
      </c>
      <c r="D1" s="6">
        <f t="shared" ref="D1:BO1" si="0">C1+1</f>
        <v>45937</v>
      </c>
      <c r="E1" s="6">
        <f t="shared" si="0"/>
        <v>45938</v>
      </c>
      <c r="F1" s="6">
        <f t="shared" si="0"/>
        <v>45939</v>
      </c>
      <c r="G1" s="6">
        <f t="shared" si="0"/>
        <v>45940</v>
      </c>
      <c r="H1" s="6">
        <f t="shared" si="0"/>
        <v>45941</v>
      </c>
      <c r="I1" s="6">
        <f t="shared" si="0"/>
        <v>45942</v>
      </c>
      <c r="J1" s="6">
        <f t="shared" si="0"/>
        <v>45943</v>
      </c>
      <c r="K1" s="6">
        <f t="shared" si="0"/>
        <v>45944</v>
      </c>
      <c r="L1" s="6">
        <f t="shared" si="0"/>
        <v>45945</v>
      </c>
      <c r="M1" s="6">
        <f t="shared" si="0"/>
        <v>45946</v>
      </c>
      <c r="N1" s="6">
        <f t="shared" si="0"/>
        <v>45947</v>
      </c>
      <c r="O1" s="6">
        <f t="shared" si="0"/>
        <v>45948</v>
      </c>
      <c r="P1" s="6">
        <f t="shared" si="0"/>
        <v>45949</v>
      </c>
      <c r="Q1" s="6">
        <f t="shared" si="0"/>
        <v>45950</v>
      </c>
      <c r="R1" s="6">
        <f t="shared" si="0"/>
        <v>45951</v>
      </c>
      <c r="S1" s="6">
        <f t="shared" si="0"/>
        <v>45952</v>
      </c>
      <c r="T1" s="6">
        <f t="shared" si="0"/>
        <v>45953</v>
      </c>
      <c r="U1" s="6">
        <f t="shared" si="0"/>
        <v>45954</v>
      </c>
      <c r="V1" s="6">
        <f t="shared" si="0"/>
        <v>45955</v>
      </c>
      <c r="W1" s="6">
        <f t="shared" si="0"/>
        <v>45956</v>
      </c>
      <c r="X1" s="6">
        <f t="shared" si="0"/>
        <v>45957</v>
      </c>
      <c r="Y1" s="6">
        <f t="shared" si="0"/>
        <v>45958</v>
      </c>
      <c r="Z1" s="6">
        <f t="shared" si="0"/>
        <v>45959</v>
      </c>
      <c r="AA1" s="6">
        <f t="shared" si="0"/>
        <v>45960</v>
      </c>
      <c r="AB1" s="6">
        <f t="shared" si="0"/>
        <v>45961</v>
      </c>
      <c r="AC1" s="6">
        <f t="shared" si="0"/>
        <v>45962</v>
      </c>
      <c r="AD1" s="6">
        <f t="shared" si="0"/>
        <v>45963</v>
      </c>
      <c r="AE1" s="6">
        <f t="shared" si="0"/>
        <v>45964</v>
      </c>
      <c r="AF1" s="6">
        <f t="shared" si="0"/>
        <v>45965</v>
      </c>
      <c r="AG1" s="6">
        <f t="shared" si="0"/>
        <v>45966</v>
      </c>
      <c r="AH1" s="6">
        <f t="shared" si="0"/>
        <v>45967</v>
      </c>
      <c r="AI1" s="6">
        <f t="shared" si="0"/>
        <v>45968</v>
      </c>
      <c r="AJ1" s="6">
        <f t="shared" si="0"/>
        <v>45969</v>
      </c>
      <c r="AK1" s="6">
        <f t="shared" si="0"/>
        <v>45970</v>
      </c>
      <c r="AL1" s="6">
        <f t="shared" si="0"/>
        <v>45971</v>
      </c>
      <c r="AM1" s="6">
        <f t="shared" si="0"/>
        <v>45972</v>
      </c>
      <c r="AN1" s="6">
        <f t="shared" si="0"/>
        <v>45973</v>
      </c>
      <c r="AO1" s="6">
        <f t="shared" si="0"/>
        <v>45974</v>
      </c>
      <c r="AP1" s="6">
        <f t="shared" si="0"/>
        <v>45975</v>
      </c>
      <c r="AQ1" s="6">
        <f t="shared" si="0"/>
        <v>45976</v>
      </c>
      <c r="AR1" s="6">
        <f t="shared" si="0"/>
        <v>45977</v>
      </c>
      <c r="AS1" s="6">
        <f t="shared" si="0"/>
        <v>45978</v>
      </c>
      <c r="AT1" s="6">
        <f t="shared" si="0"/>
        <v>45979</v>
      </c>
      <c r="AU1" s="6">
        <f t="shared" si="0"/>
        <v>45980</v>
      </c>
      <c r="AV1" s="6">
        <f t="shared" si="0"/>
        <v>45981</v>
      </c>
      <c r="AW1" s="6">
        <f t="shared" si="0"/>
        <v>45982</v>
      </c>
      <c r="AX1" s="6">
        <f t="shared" si="0"/>
        <v>45983</v>
      </c>
      <c r="AY1" s="6">
        <f t="shared" si="0"/>
        <v>45984</v>
      </c>
      <c r="AZ1" s="6">
        <f t="shared" si="0"/>
        <v>45985</v>
      </c>
      <c r="BA1" s="6">
        <f t="shared" si="0"/>
        <v>45986</v>
      </c>
      <c r="BB1" s="6">
        <f t="shared" si="0"/>
        <v>45987</v>
      </c>
      <c r="BC1" s="6">
        <f t="shared" si="0"/>
        <v>45988</v>
      </c>
      <c r="BD1" s="6">
        <f t="shared" si="0"/>
        <v>45989</v>
      </c>
      <c r="BE1" s="6">
        <f t="shared" si="0"/>
        <v>45990</v>
      </c>
      <c r="BF1" s="6">
        <f t="shared" si="0"/>
        <v>45991</v>
      </c>
      <c r="BG1" s="6">
        <f t="shared" si="0"/>
        <v>45992</v>
      </c>
      <c r="BH1" s="6">
        <f t="shared" si="0"/>
        <v>45993</v>
      </c>
      <c r="BI1" s="6">
        <f t="shared" si="0"/>
        <v>45994</v>
      </c>
      <c r="BJ1" s="6">
        <f t="shared" si="0"/>
        <v>45995</v>
      </c>
      <c r="BK1" s="6">
        <f t="shared" si="0"/>
        <v>45996</v>
      </c>
      <c r="BL1" s="6">
        <f t="shared" si="0"/>
        <v>45997</v>
      </c>
      <c r="BM1" s="6">
        <f t="shared" si="0"/>
        <v>45998</v>
      </c>
      <c r="BN1" s="6">
        <f t="shared" si="0"/>
        <v>45999</v>
      </c>
      <c r="BO1" s="6">
        <f t="shared" si="0"/>
        <v>46000</v>
      </c>
      <c r="BP1" s="6">
        <f t="shared" ref="BP1:DH1" si="1">BO1+1</f>
        <v>46001</v>
      </c>
      <c r="BQ1" s="6">
        <f t="shared" si="1"/>
        <v>46002</v>
      </c>
      <c r="BR1" s="6">
        <f t="shared" si="1"/>
        <v>46003</v>
      </c>
      <c r="BS1" s="6">
        <f t="shared" si="1"/>
        <v>46004</v>
      </c>
      <c r="BT1" s="6">
        <f t="shared" si="1"/>
        <v>46005</v>
      </c>
      <c r="BU1" s="6">
        <f t="shared" si="1"/>
        <v>46006</v>
      </c>
      <c r="BV1" s="6">
        <f t="shared" si="1"/>
        <v>46007</v>
      </c>
      <c r="BW1" s="6">
        <f t="shared" si="1"/>
        <v>46008</v>
      </c>
      <c r="BX1" s="6">
        <f t="shared" si="1"/>
        <v>46009</v>
      </c>
      <c r="BY1" s="6">
        <f t="shared" si="1"/>
        <v>46010</v>
      </c>
      <c r="BZ1" s="6">
        <f t="shared" si="1"/>
        <v>46011</v>
      </c>
      <c r="CA1" s="6">
        <f t="shared" si="1"/>
        <v>46012</v>
      </c>
      <c r="CB1" s="6">
        <f t="shared" si="1"/>
        <v>46013</v>
      </c>
      <c r="CC1" s="6">
        <f t="shared" si="1"/>
        <v>46014</v>
      </c>
      <c r="CD1" s="6">
        <f t="shared" si="1"/>
        <v>46015</v>
      </c>
      <c r="CE1" s="6">
        <f t="shared" si="1"/>
        <v>46016</v>
      </c>
      <c r="CF1" s="6">
        <f t="shared" si="1"/>
        <v>46017</v>
      </c>
      <c r="CG1" s="6">
        <f t="shared" si="1"/>
        <v>46018</v>
      </c>
      <c r="CH1" s="6">
        <f t="shared" si="1"/>
        <v>46019</v>
      </c>
      <c r="CI1" s="6">
        <f t="shared" si="1"/>
        <v>46020</v>
      </c>
      <c r="CJ1" s="6">
        <f t="shared" si="1"/>
        <v>46021</v>
      </c>
      <c r="CK1" s="6">
        <f t="shared" si="1"/>
        <v>46022</v>
      </c>
      <c r="CL1" s="6">
        <f t="shared" si="1"/>
        <v>46023</v>
      </c>
      <c r="CM1" s="6">
        <f t="shared" si="1"/>
        <v>46024</v>
      </c>
      <c r="CN1" s="6">
        <f t="shared" si="1"/>
        <v>46025</v>
      </c>
      <c r="CO1" s="6">
        <f t="shared" si="1"/>
        <v>46026</v>
      </c>
      <c r="CP1" s="6">
        <f t="shared" si="1"/>
        <v>46027</v>
      </c>
      <c r="CQ1" s="6">
        <f t="shared" si="1"/>
        <v>46028</v>
      </c>
      <c r="CR1" s="6">
        <f t="shared" si="1"/>
        <v>46029</v>
      </c>
      <c r="CS1" s="6">
        <f t="shared" si="1"/>
        <v>46030</v>
      </c>
      <c r="CT1" s="6">
        <f t="shared" si="1"/>
        <v>46031</v>
      </c>
      <c r="CU1" s="6">
        <f t="shared" si="1"/>
        <v>46032</v>
      </c>
      <c r="CV1" s="6">
        <f t="shared" si="1"/>
        <v>46033</v>
      </c>
      <c r="CW1" s="6">
        <f t="shared" si="1"/>
        <v>46034</v>
      </c>
      <c r="CX1" s="6">
        <f t="shared" si="1"/>
        <v>46035</v>
      </c>
      <c r="CY1" s="6">
        <f t="shared" si="1"/>
        <v>46036</v>
      </c>
      <c r="CZ1" s="6">
        <f t="shared" si="1"/>
        <v>46037</v>
      </c>
      <c r="DA1" s="6">
        <f t="shared" si="1"/>
        <v>46038</v>
      </c>
      <c r="DB1" s="6">
        <f t="shared" si="1"/>
        <v>46039</v>
      </c>
      <c r="DC1" s="6">
        <f t="shared" si="1"/>
        <v>46040</v>
      </c>
      <c r="DD1" s="6">
        <f t="shared" si="1"/>
        <v>46041</v>
      </c>
      <c r="DE1" s="6">
        <f t="shared" si="1"/>
        <v>46042</v>
      </c>
      <c r="DF1" s="6">
        <f t="shared" si="1"/>
        <v>46043</v>
      </c>
      <c r="DG1" s="6">
        <f t="shared" si="1"/>
        <v>46044</v>
      </c>
      <c r="DH1" s="6">
        <f t="shared" si="1"/>
        <v>46045</v>
      </c>
    </row>
    <row r="2" spans="1:256" s="2" customFormat="1" ht="15.75" x14ac:dyDescent="0.2">
      <c r="A2" s="7" t="s">
        <v>2</v>
      </c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 ht="15" x14ac:dyDescent="0.2">
      <c r="A3" s="10" t="s">
        <v>3</v>
      </c>
      <c r="B3" s="11">
        <f t="shared" ref="B3:B20" si="2">SUM(C3:DH3)</f>
        <v>12</v>
      </c>
      <c r="C3" s="12">
        <v>4</v>
      </c>
      <c r="D3" s="12">
        <v>1</v>
      </c>
      <c r="E3" s="12">
        <v>4</v>
      </c>
      <c r="F3" s="12">
        <v>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</row>
    <row r="4" spans="1:256" ht="12" customHeight="1" x14ac:dyDescent="0.2">
      <c r="A4" s="13" t="s">
        <v>15</v>
      </c>
      <c r="B4" s="14">
        <f t="shared" si="2"/>
        <v>3</v>
      </c>
      <c r="C4" s="15">
        <v>1</v>
      </c>
      <c r="D4" s="15">
        <v>1</v>
      </c>
      <c r="E4" s="15"/>
      <c r="F4" s="15">
        <v>1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</row>
    <row r="5" spans="1:256" ht="12" customHeight="1" x14ac:dyDescent="0.2">
      <c r="A5" s="13" t="s">
        <v>16</v>
      </c>
      <c r="B5" s="14">
        <f t="shared" si="2"/>
        <v>4</v>
      </c>
      <c r="C5" s="15">
        <v>2</v>
      </c>
      <c r="D5" s="15"/>
      <c r="E5" s="15">
        <v>2</v>
      </c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</row>
    <row r="6" spans="1:256" ht="12" customHeight="1" x14ac:dyDescent="0.2">
      <c r="A6" s="13" t="s">
        <v>17</v>
      </c>
      <c r="B6" s="14">
        <f t="shared" si="2"/>
        <v>3</v>
      </c>
      <c r="C6" s="15">
        <v>3</v>
      </c>
      <c r="D6" s="15"/>
      <c r="E6" s="15"/>
      <c r="F6" s="15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</row>
    <row r="7" spans="1:256" ht="12" customHeight="1" x14ac:dyDescent="0.2">
      <c r="A7" s="13" t="s">
        <v>18</v>
      </c>
      <c r="B7" s="14">
        <f t="shared" si="2"/>
        <v>7</v>
      </c>
      <c r="C7" s="15">
        <v>4</v>
      </c>
      <c r="D7" s="15"/>
      <c r="E7" s="15">
        <v>2</v>
      </c>
      <c r="F7" s="15">
        <v>1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</row>
    <row r="8" spans="1:256" ht="12" customHeight="1" x14ac:dyDescent="0.2">
      <c r="A8" s="13" t="s">
        <v>19</v>
      </c>
      <c r="B8" s="14">
        <f t="shared" si="2"/>
        <v>5</v>
      </c>
      <c r="C8" s="15">
        <v>4</v>
      </c>
      <c r="D8" s="15"/>
      <c r="E8" s="15"/>
      <c r="F8" s="15">
        <v>1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</row>
    <row r="9" spans="1:256" ht="15" x14ac:dyDescent="0.2">
      <c r="A9" s="10" t="s">
        <v>4</v>
      </c>
      <c r="B9" s="11">
        <f t="shared" si="2"/>
        <v>27</v>
      </c>
      <c r="C9" s="16"/>
      <c r="D9" s="16"/>
      <c r="E9" s="16"/>
      <c r="F9" s="16"/>
      <c r="G9" s="12">
        <v>4</v>
      </c>
      <c r="H9" s="12">
        <v>1</v>
      </c>
      <c r="I9" s="12">
        <v>4</v>
      </c>
      <c r="J9" s="12">
        <v>1</v>
      </c>
      <c r="K9" s="12">
        <v>4</v>
      </c>
      <c r="L9" s="12">
        <v>4</v>
      </c>
      <c r="M9" s="12">
        <v>1</v>
      </c>
      <c r="N9" s="12">
        <v>4</v>
      </c>
      <c r="O9" s="12">
        <v>4</v>
      </c>
      <c r="P9" s="16"/>
      <c r="Q9" s="16"/>
      <c r="R9" s="16"/>
      <c r="S9" s="16"/>
      <c r="T9" s="16"/>
      <c r="U9" s="23"/>
      <c r="V9" s="23"/>
      <c r="W9" s="23"/>
      <c r="X9" s="28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</row>
    <row r="10" spans="1:256" ht="12" customHeight="1" x14ac:dyDescent="0.2">
      <c r="A10" s="13" t="s">
        <v>15</v>
      </c>
      <c r="B10" s="14">
        <f t="shared" si="2"/>
        <v>9</v>
      </c>
      <c r="C10" s="16"/>
      <c r="D10" s="16"/>
      <c r="E10" s="16"/>
      <c r="F10" s="16"/>
      <c r="G10" s="15">
        <v>1</v>
      </c>
      <c r="H10" s="15">
        <v>1</v>
      </c>
      <c r="I10" s="15">
        <v>1</v>
      </c>
      <c r="J10" s="15">
        <v>1</v>
      </c>
      <c r="K10" s="15"/>
      <c r="L10" s="15">
        <v>1</v>
      </c>
      <c r="M10" s="15">
        <v>1</v>
      </c>
      <c r="N10" s="15"/>
      <c r="O10" s="15">
        <v>3</v>
      </c>
      <c r="P10" s="16"/>
      <c r="Q10" s="16"/>
      <c r="R10" s="16"/>
      <c r="S10" s="16"/>
      <c r="T10" s="16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</row>
    <row r="11" spans="1:256" ht="12" customHeight="1" x14ac:dyDescent="0.2">
      <c r="A11" s="13" t="s">
        <v>16</v>
      </c>
      <c r="B11" s="14">
        <f t="shared" si="2"/>
        <v>10</v>
      </c>
      <c r="C11" s="16"/>
      <c r="D11" s="16"/>
      <c r="E11" s="16"/>
      <c r="F11" s="16"/>
      <c r="G11" s="15">
        <v>2</v>
      </c>
      <c r="H11" s="15"/>
      <c r="I11" s="15">
        <v>2</v>
      </c>
      <c r="J11" s="15"/>
      <c r="K11" s="15">
        <v>2</v>
      </c>
      <c r="L11" s="15">
        <v>2</v>
      </c>
      <c r="M11" s="15"/>
      <c r="N11" s="15">
        <v>2</v>
      </c>
      <c r="O11" s="15"/>
      <c r="P11" s="16"/>
      <c r="Q11" s="16"/>
      <c r="R11" s="16"/>
      <c r="S11" s="16"/>
      <c r="T11" s="16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</row>
    <row r="12" spans="1:256" ht="12" customHeight="1" x14ac:dyDescent="0.2">
      <c r="A12" s="13" t="s">
        <v>17</v>
      </c>
      <c r="B12" s="14">
        <f t="shared" si="2"/>
        <v>9</v>
      </c>
      <c r="C12" s="16"/>
      <c r="D12" s="16"/>
      <c r="E12" s="16"/>
      <c r="F12" s="16"/>
      <c r="G12" s="15">
        <v>3</v>
      </c>
      <c r="H12" s="15"/>
      <c r="I12" s="15">
        <v>3</v>
      </c>
      <c r="J12" s="15"/>
      <c r="K12" s="15"/>
      <c r="L12" s="15">
        <v>3</v>
      </c>
      <c r="M12" s="15"/>
      <c r="N12" s="15"/>
      <c r="O12" s="15"/>
      <c r="P12" s="16"/>
      <c r="Q12" s="16"/>
      <c r="R12" s="16"/>
      <c r="S12" s="16"/>
      <c r="T12" s="16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</row>
    <row r="13" spans="1:256" ht="12" customHeight="1" x14ac:dyDescent="0.2">
      <c r="A13" s="13" t="s">
        <v>18</v>
      </c>
      <c r="B13" s="14">
        <f t="shared" si="2"/>
        <v>19</v>
      </c>
      <c r="C13" s="16"/>
      <c r="D13" s="16"/>
      <c r="E13" s="16"/>
      <c r="F13" s="16"/>
      <c r="G13" s="15">
        <v>4</v>
      </c>
      <c r="H13" s="15"/>
      <c r="I13" s="15">
        <v>4</v>
      </c>
      <c r="J13" s="15"/>
      <c r="K13" s="15">
        <v>2</v>
      </c>
      <c r="L13" s="15">
        <v>4</v>
      </c>
      <c r="M13" s="15"/>
      <c r="N13" s="15">
        <v>2</v>
      </c>
      <c r="O13" s="15">
        <v>3</v>
      </c>
      <c r="P13" s="16"/>
      <c r="Q13" s="16"/>
      <c r="R13" s="16"/>
      <c r="S13" s="16"/>
      <c r="T13" s="16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</row>
    <row r="14" spans="1:256" ht="12" customHeight="1" x14ac:dyDescent="0.2">
      <c r="A14" s="13" t="s">
        <v>19</v>
      </c>
      <c r="B14" s="14">
        <f t="shared" si="2"/>
        <v>3</v>
      </c>
      <c r="C14" s="16"/>
      <c r="D14" s="16"/>
      <c r="E14" s="16"/>
      <c r="F14" s="16"/>
      <c r="G14" s="15"/>
      <c r="H14" s="15"/>
      <c r="I14" s="15"/>
      <c r="J14" s="15"/>
      <c r="K14" s="15"/>
      <c r="L14" s="15"/>
      <c r="M14" s="15"/>
      <c r="N14" s="15"/>
      <c r="O14" s="15">
        <v>3</v>
      </c>
      <c r="P14" s="16"/>
      <c r="Q14" s="16"/>
      <c r="R14" s="16"/>
      <c r="S14" s="16"/>
      <c r="T14" s="16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</row>
    <row r="15" spans="1:256" s="3" customFormat="1" ht="15" x14ac:dyDescent="0.2">
      <c r="A15" s="17" t="s">
        <v>5</v>
      </c>
      <c r="B15" s="11">
        <f t="shared" si="2"/>
        <v>8</v>
      </c>
      <c r="C15" s="16"/>
      <c r="D15" s="16"/>
      <c r="E15" s="16"/>
      <c r="F15" s="16"/>
      <c r="G15" s="26"/>
      <c r="H15" s="26"/>
      <c r="I15" s="26"/>
      <c r="J15" s="26"/>
      <c r="K15" s="26"/>
      <c r="L15" s="26"/>
      <c r="M15" s="26"/>
      <c r="N15" s="12">
        <v>4</v>
      </c>
      <c r="O15" s="12">
        <v>4</v>
      </c>
      <c r="P15" s="26"/>
      <c r="Q15" s="26"/>
      <c r="R15" s="26"/>
      <c r="S15" s="26"/>
      <c r="T15" s="26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</row>
    <row r="16" spans="1:256" ht="12" customHeight="1" x14ac:dyDescent="0.2">
      <c r="A16" s="13" t="s">
        <v>15</v>
      </c>
      <c r="B16" s="14">
        <f t="shared" si="2"/>
        <v>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5"/>
      <c r="O16" s="15">
        <v>3</v>
      </c>
      <c r="P16" s="16"/>
      <c r="Q16" s="16"/>
      <c r="R16" s="16"/>
      <c r="S16" s="16"/>
      <c r="T16" s="16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</row>
    <row r="17" spans="1:112" ht="12" customHeight="1" x14ac:dyDescent="0.2">
      <c r="A17" s="13" t="s">
        <v>16</v>
      </c>
      <c r="B17" s="14">
        <f t="shared" si="2"/>
        <v>2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5">
        <v>2</v>
      </c>
      <c r="O17" s="15"/>
      <c r="P17" s="16"/>
      <c r="Q17" s="16"/>
      <c r="R17" s="16"/>
      <c r="S17" s="16"/>
      <c r="T17" s="16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</row>
    <row r="18" spans="1:112" ht="12" customHeight="1" x14ac:dyDescent="0.2">
      <c r="A18" s="13" t="s">
        <v>17</v>
      </c>
      <c r="B18" s="14">
        <f t="shared" si="2"/>
        <v>0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5"/>
      <c r="O18" s="15"/>
      <c r="P18" s="16"/>
      <c r="Q18" s="16"/>
      <c r="R18" s="16"/>
      <c r="S18" s="16"/>
      <c r="T18" s="16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</row>
    <row r="19" spans="1:112" ht="12" customHeight="1" x14ac:dyDescent="0.2">
      <c r="A19" s="13" t="s">
        <v>18</v>
      </c>
      <c r="B19" s="14">
        <f t="shared" si="2"/>
        <v>5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5">
        <v>2</v>
      </c>
      <c r="O19" s="15">
        <v>3</v>
      </c>
      <c r="P19" s="16"/>
      <c r="Q19" s="16"/>
      <c r="R19" s="16"/>
      <c r="S19" s="16"/>
      <c r="T19" s="16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</row>
    <row r="20" spans="1:112" ht="12" customHeight="1" x14ac:dyDescent="0.2">
      <c r="A20" s="13" t="s">
        <v>19</v>
      </c>
      <c r="B20" s="14">
        <f t="shared" si="2"/>
        <v>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5"/>
      <c r="O20" s="15">
        <v>3</v>
      </c>
      <c r="P20" s="16"/>
      <c r="Q20" s="16"/>
      <c r="R20" s="16"/>
      <c r="S20" s="16"/>
      <c r="T20" s="16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</row>
    <row r="21" spans="1:112" ht="16.5" x14ac:dyDescent="0.2">
      <c r="A21" s="18" t="s">
        <v>6</v>
      </c>
      <c r="B21" s="19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27"/>
      <c r="P21" s="16"/>
      <c r="Q21" s="16"/>
      <c r="R21" s="16"/>
      <c r="S21" s="16"/>
      <c r="T21" s="16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</row>
    <row r="22" spans="1:112" ht="15.75" x14ac:dyDescent="0.2">
      <c r="A22" s="7" t="s">
        <v>7</v>
      </c>
      <c r="B22" s="20"/>
      <c r="C22" s="16"/>
      <c r="D22" s="16"/>
      <c r="E22" s="16"/>
      <c r="F22" s="16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</row>
    <row r="23" spans="1:112" ht="15" x14ac:dyDescent="0.2">
      <c r="A23" s="21" t="s">
        <v>8</v>
      </c>
      <c r="B23" s="22">
        <f>SUM(C23:DH23)</f>
        <v>7</v>
      </c>
      <c r="C23" s="16"/>
      <c r="D23" s="16"/>
      <c r="E23" s="16"/>
      <c r="F23" s="16"/>
      <c r="G23" s="23"/>
      <c r="H23" s="23"/>
      <c r="I23" s="23"/>
      <c r="J23" s="23"/>
      <c r="K23" s="23"/>
      <c r="L23" s="23"/>
      <c r="M23" s="23"/>
      <c r="N23" s="23"/>
      <c r="O23" s="23"/>
      <c r="P23" s="12">
        <v>4</v>
      </c>
      <c r="Q23" s="12">
        <v>3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</row>
    <row r="24" spans="1:112" ht="12" customHeight="1" x14ac:dyDescent="0.2">
      <c r="A24" s="13" t="s">
        <v>15</v>
      </c>
      <c r="B24" s="14">
        <f>SUM(C24:DH24)</f>
        <v>1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>
        <v>1</v>
      </c>
      <c r="R24" s="16"/>
      <c r="S24" s="16"/>
      <c r="T24" s="16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</row>
    <row r="25" spans="1:112" ht="12" customHeight="1" x14ac:dyDescent="0.2">
      <c r="A25" s="13" t="s">
        <v>16</v>
      </c>
      <c r="B25" s="14">
        <f t="shared" ref="B25:B36" si="3">SUM(C25:DH25)</f>
        <v>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>
        <v>2</v>
      </c>
      <c r="Q25" s="15"/>
      <c r="R25" s="16"/>
      <c r="S25" s="16"/>
      <c r="T25" s="16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</row>
    <row r="26" spans="1:112" ht="12" customHeight="1" x14ac:dyDescent="0.2">
      <c r="A26" s="13" t="s">
        <v>17</v>
      </c>
      <c r="B26" s="14">
        <f t="shared" si="3"/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6"/>
      <c r="S26" s="16"/>
      <c r="T26" s="16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</row>
    <row r="27" spans="1:112" ht="12" customHeight="1" x14ac:dyDescent="0.2">
      <c r="A27" s="13" t="s">
        <v>18</v>
      </c>
      <c r="B27" s="14">
        <f t="shared" si="3"/>
        <v>3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>
        <v>2</v>
      </c>
      <c r="Q27" s="15">
        <v>1</v>
      </c>
      <c r="R27" s="16"/>
      <c r="S27" s="16"/>
      <c r="T27" s="16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</row>
    <row r="28" spans="1:112" ht="12" customHeight="1" x14ac:dyDescent="0.2">
      <c r="A28" s="13" t="s">
        <v>19</v>
      </c>
      <c r="B28" s="14">
        <f t="shared" si="3"/>
        <v>1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>
        <v>1</v>
      </c>
      <c r="R28" s="16"/>
      <c r="S28" s="16"/>
      <c r="T28" s="16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</row>
    <row r="29" spans="1:112" ht="15" x14ac:dyDescent="0.2">
      <c r="A29" s="21" t="s">
        <v>9</v>
      </c>
      <c r="B29" s="22">
        <f t="shared" si="3"/>
        <v>7</v>
      </c>
      <c r="C29" s="16"/>
      <c r="D29" s="16"/>
      <c r="E29" s="16"/>
      <c r="F29" s="16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12">
        <v>4</v>
      </c>
      <c r="S29" s="12">
        <v>3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</row>
    <row r="30" spans="1:112" ht="12" customHeight="1" x14ac:dyDescent="0.2">
      <c r="A30" s="13" t="s">
        <v>15</v>
      </c>
      <c r="B30" s="14">
        <f t="shared" si="3"/>
        <v>1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5"/>
      <c r="S30" s="15">
        <v>1</v>
      </c>
      <c r="T30" s="16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</row>
    <row r="31" spans="1:112" ht="12" customHeight="1" x14ac:dyDescent="0.2">
      <c r="A31" s="13" t="s">
        <v>16</v>
      </c>
      <c r="B31" s="14">
        <f t="shared" si="3"/>
        <v>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5">
        <v>2</v>
      </c>
      <c r="S31" s="15"/>
      <c r="T31" s="16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</row>
    <row r="32" spans="1:112" ht="12" customHeight="1" x14ac:dyDescent="0.2">
      <c r="A32" s="13" t="s">
        <v>17</v>
      </c>
      <c r="B32" s="14">
        <f t="shared" si="3"/>
        <v>0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5"/>
      <c r="T32" s="16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</row>
    <row r="33" spans="1:112" ht="12" customHeight="1" x14ac:dyDescent="0.2">
      <c r="A33" s="13" t="s">
        <v>18</v>
      </c>
      <c r="B33" s="14">
        <f t="shared" si="3"/>
        <v>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5">
        <v>2</v>
      </c>
      <c r="S33" s="15">
        <v>1</v>
      </c>
      <c r="T33" s="16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</row>
    <row r="34" spans="1:112" ht="12" customHeight="1" x14ac:dyDescent="0.2">
      <c r="A34" s="13" t="s">
        <v>19</v>
      </c>
      <c r="B34" s="14">
        <f t="shared" si="3"/>
        <v>1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5"/>
      <c r="S34" s="15">
        <v>1</v>
      </c>
      <c r="T34" s="16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</row>
    <row r="35" spans="1:112" ht="15" x14ac:dyDescent="0.2">
      <c r="A35" s="21" t="s">
        <v>10</v>
      </c>
      <c r="B35" s="22">
        <f t="shared" si="3"/>
        <v>0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</row>
    <row r="36" spans="1:112" x14ac:dyDescent="0.2">
      <c r="A36" s="13" t="s">
        <v>15</v>
      </c>
      <c r="B36" s="14">
        <f t="shared" si="3"/>
        <v>0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</row>
    <row r="37" spans="1:112" x14ac:dyDescent="0.2">
      <c r="A37" s="13" t="s">
        <v>16</v>
      </c>
      <c r="B37" s="14">
        <f t="shared" ref="B37:B48" si="4">SUM(C37:DH37)</f>
        <v>0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</row>
    <row r="38" spans="1:112" x14ac:dyDescent="0.2">
      <c r="A38" s="13" t="s">
        <v>17</v>
      </c>
      <c r="B38" s="14">
        <f t="shared" si="4"/>
        <v>0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</row>
    <row r="39" spans="1:112" x14ac:dyDescent="0.2">
      <c r="A39" s="13" t="s">
        <v>18</v>
      </c>
      <c r="B39" s="14">
        <f t="shared" si="4"/>
        <v>0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</row>
    <row r="40" spans="1:112" x14ac:dyDescent="0.2">
      <c r="A40" s="13" t="s">
        <v>19</v>
      </c>
      <c r="B40" s="14">
        <f t="shared" si="4"/>
        <v>0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</row>
    <row r="41" spans="1:112" ht="15" x14ac:dyDescent="0.2">
      <c r="A41" s="21" t="s">
        <v>11</v>
      </c>
      <c r="B41" s="22">
        <f t="shared" si="4"/>
        <v>0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</row>
    <row r="42" spans="1:112" x14ac:dyDescent="0.2">
      <c r="A42" s="13" t="s">
        <v>15</v>
      </c>
      <c r="B42" s="14">
        <f t="shared" si="4"/>
        <v>0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</row>
    <row r="43" spans="1:112" x14ac:dyDescent="0.2">
      <c r="A43" s="13" t="s">
        <v>16</v>
      </c>
      <c r="B43" s="14">
        <f t="shared" si="4"/>
        <v>0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</row>
    <row r="44" spans="1:112" x14ac:dyDescent="0.2">
      <c r="A44" s="13" t="s">
        <v>17</v>
      </c>
      <c r="B44" s="14">
        <f t="shared" si="4"/>
        <v>0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</row>
    <row r="45" spans="1:112" x14ac:dyDescent="0.2">
      <c r="A45" s="13" t="s">
        <v>18</v>
      </c>
      <c r="B45" s="14">
        <f t="shared" si="4"/>
        <v>0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</row>
    <row r="46" spans="1:112" x14ac:dyDescent="0.2">
      <c r="A46" s="13" t="s">
        <v>19</v>
      </c>
      <c r="B46" s="14">
        <f t="shared" si="4"/>
        <v>0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</row>
    <row r="47" spans="1:112" ht="15" x14ac:dyDescent="0.2">
      <c r="A47" s="21" t="s">
        <v>12</v>
      </c>
      <c r="B47" s="22">
        <f t="shared" si="4"/>
        <v>0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</row>
    <row r="48" spans="1:112" x14ac:dyDescent="0.2">
      <c r="A48" s="13" t="s">
        <v>15</v>
      </c>
      <c r="B48" s="14">
        <f t="shared" si="4"/>
        <v>0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</row>
    <row r="49" spans="1:112" x14ac:dyDescent="0.2">
      <c r="A49" s="13" t="s">
        <v>16</v>
      </c>
      <c r="B49" s="14">
        <f t="shared" ref="B49:B58" si="5">SUM(C49:DH49)</f>
        <v>0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</row>
    <row r="50" spans="1:112" x14ac:dyDescent="0.2">
      <c r="A50" s="13" t="s">
        <v>17</v>
      </c>
      <c r="B50" s="14">
        <f t="shared" si="5"/>
        <v>0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</row>
    <row r="51" spans="1:112" x14ac:dyDescent="0.2">
      <c r="A51" s="13" t="s">
        <v>18</v>
      </c>
      <c r="B51" s="14">
        <f t="shared" si="5"/>
        <v>0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</row>
    <row r="52" spans="1:112" x14ac:dyDescent="0.2">
      <c r="A52" s="13" t="s">
        <v>19</v>
      </c>
      <c r="B52" s="14">
        <f t="shared" si="5"/>
        <v>0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</row>
    <row r="53" spans="1:112" ht="15" x14ac:dyDescent="0.2">
      <c r="A53" s="21" t="s">
        <v>13</v>
      </c>
      <c r="B53" s="22">
        <f t="shared" si="5"/>
        <v>0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</row>
    <row r="54" spans="1:112" x14ac:dyDescent="0.2">
      <c r="A54" s="13" t="s">
        <v>15</v>
      </c>
      <c r="B54" s="14">
        <f t="shared" si="5"/>
        <v>0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</row>
    <row r="55" spans="1:112" x14ac:dyDescent="0.2">
      <c r="A55" s="13" t="s">
        <v>16</v>
      </c>
      <c r="B55" s="14">
        <f t="shared" si="5"/>
        <v>0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</row>
    <row r="56" spans="1:112" x14ac:dyDescent="0.2">
      <c r="A56" s="13" t="s">
        <v>17</v>
      </c>
      <c r="B56" s="14">
        <f t="shared" si="5"/>
        <v>0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</row>
    <row r="57" spans="1:112" x14ac:dyDescent="0.2">
      <c r="A57" s="13" t="s">
        <v>18</v>
      </c>
      <c r="B57" s="14">
        <f t="shared" si="5"/>
        <v>0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</row>
    <row r="58" spans="1:112" x14ac:dyDescent="0.2">
      <c r="A58" s="13" t="s">
        <v>19</v>
      </c>
      <c r="B58" s="14">
        <f t="shared" si="5"/>
        <v>0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</row>
    <row r="59" spans="1:112" ht="15.75" x14ac:dyDescent="0.25">
      <c r="A59" s="24" t="s">
        <v>14</v>
      </c>
      <c r="B59" s="25">
        <f>SUM(B3,B9,B15,B23,B29,B35,B41,B47,B53)</f>
        <v>61</v>
      </c>
    </row>
  </sheetData>
  <conditionalFormatting sqref="C1:DH1">
    <cfRule type="expression" dxfId="1" priority="1">
      <formula>OR(WEEKDAY(C1)=7,WEEKDAY(C1)=1)</formula>
    </cfRule>
  </conditionalFormatting>
  <pageMargins left="0.39305555555555555" right="0.39305555555555555" top="0.39305555555555555" bottom="0.39305555555555555" header="0" footer="0"/>
  <pageSetup paperSize="9" scale="59" fitToWidth="0" orientation="landscape" horizontalDpi="300" verticalDpi="30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A2CF-3A93-45F5-9C33-3ECA5C8A2F9F}">
  <sheetPr>
    <pageSetUpPr fitToPage="1"/>
  </sheetPr>
  <dimension ref="A1:IV59"/>
  <sheetViews>
    <sheetView workbookViewId="0">
      <pane xSplit="2" ySplit="1" topLeftCell="C2" activePane="bottomRight" state="frozen"/>
      <selection pane="topRight"/>
      <selection pane="bottomLeft"/>
      <selection pane="bottomRight" activeCell="B113" sqref="B113"/>
    </sheetView>
  </sheetViews>
  <sheetFormatPr baseColWidth="10" defaultColWidth="11.42578125" defaultRowHeight="12.75" x14ac:dyDescent="0.2"/>
  <cols>
    <col min="1" max="1" width="31.28515625" customWidth="1"/>
    <col min="2" max="2" width="6.7109375" bestFit="1" customWidth="1"/>
    <col min="3" max="3" width="5.85546875" customWidth="1"/>
    <col min="4" max="112" width="5.7109375" customWidth="1"/>
  </cols>
  <sheetData>
    <row r="1" spans="1:256" s="2" customFormat="1" ht="87" customHeight="1" x14ac:dyDescent="0.2">
      <c r="A1" s="4" t="s">
        <v>0</v>
      </c>
      <c r="B1" s="5" t="s">
        <v>1</v>
      </c>
      <c r="C1" s="6">
        <f>Fecha_inicio</f>
        <v>45936</v>
      </c>
      <c r="D1" s="6">
        <f t="shared" ref="D1:BO1" si="0">C1+1</f>
        <v>45937</v>
      </c>
      <c r="E1" s="6">
        <f t="shared" si="0"/>
        <v>45938</v>
      </c>
      <c r="F1" s="6">
        <f t="shared" si="0"/>
        <v>45939</v>
      </c>
      <c r="G1" s="6">
        <f t="shared" si="0"/>
        <v>45940</v>
      </c>
      <c r="H1" s="6">
        <f t="shared" si="0"/>
        <v>45941</v>
      </c>
      <c r="I1" s="6">
        <f t="shared" si="0"/>
        <v>45942</v>
      </c>
      <c r="J1" s="6">
        <f t="shared" si="0"/>
        <v>45943</v>
      </c>
      <c r="K1" s="6">
        <f t="shared" si="0"/>
        <v>45944</v>
      </c>
      <c r="L1" s="6">
        <f t="shared" si="0"/>
        <v>45945</v>
      </c>
      <c r="M1" s="6">
        <f t="shared" si="0"/>
        <v>45946</v>
      </c>
      <c r="N1" s="6">
        <f t="shared" si="0"/>
        <v>45947</v>
      </c>
      <c r="O1" s="6">
        <f t="shared" si="0"/>
        <v>45948</v>
      </c>
      <c r="P1" s="6">
        <f t="shared" si="0"/>
        <v>45949</v>
      </c>
      <c r="Q1" s="6">
        <f t="shared" si="0"/>
        <v>45950</v>
      </c>
      <c r="R1" s="6">
        <f t="shared" si="0"/>
        <v>45951</v>
      </c>
      <c r="S1" s="6">
        <f t="shared" si="0"/>
        <v>45952</v>
      </c>
      <c r="T1" s="6">
        <f t="shared" si="0"/>
        <v>45953</v>
      </c>
      <c r="U1" s="6">
        <f t="shared" si="0"/>
        <v>45954</v>
      </c>
      <c r="V1" s="6">
        <f t="shared" si="0"/>
        <v>45955</v>
      </c>
      <c r="W1" s="6">
        <f t="shared" si="0"/>
        <v>45956</v>
      </c>
      <c r="X1" s="6">
        <f t="shared" si="0"/>
        <v>45957</v>
      </c>
      <c r="Y1" s="6">
        <f t="shared" si="0"/>
        <v>45958</v>
      </c>
      <c r="Z1" s="6">
        <f t="shared" si="0"/>
        <v>45959</v>
      </c>
      <c r="AA1" s="6">
        <f t="shared" si="0"/>
        <v>45960</v>
      </c>
      <c r="AB1" s="6">
        <f t="shared" si="0"/>
        <v>45961</v>
      </c>
      <c r="AC1" s="6">
        <f t="shared" si="0"/>
        <v>45962</v>
      </c>
      <c r="AD1" s="6">
        <f t="shared" si="0"/>
        <v>45963</v>
      </c>
      <c r="AE1" s="6">
        <f t="shared" si="0"/>
        <v>45964</v>
      </c>
      <c r="AF1" s="6">
        <f t="shared" si="0"/>
        <v>45965</v>
      </c>
      <c r="AG1" s="6">
        <f t="shared" si="0"/>
        <v>45966</v>
      </c>
      <c r="AH1" s="6">
        <f t="shared" si="0"/>
        <v>45967</v>
      </c>
      <c r="AI1" s="6">
        <f t="shared" si="0"/>
        <v>45968</v>
      </c>
      <c r="AJ1" s="6">
        <f t="shared" si="0"/>
        <v>45969</v>
      </c>
      <c r="AK1" s="6">
        <f t="shared" si="0"/>
        <v>45970</v>
      </c>
      <c r="AL1" s="6">
        <f t="shared" si="0"/>
        <v>45971</v>
      </c>
      <c r="AM1" s="6">
        <f t="shared" si="0"/>
        <v>45972</v>
      </c>
      <c r="AN1" s="6">
        <f t="shared" si="0"/>
        <v>45973</v>
      </c>
      <c r="AO1" s="6">
        <f t="shared" si="0"/>
        <v>45974</v>
      </c>
      <c r="AP1" s="6">
        <f t="shared" si="0"/>
        <v>45975</v>
      </c>
      <c r="AQ1" s="6">
        <f t="shared" si="0"/>
        <v>45976</v>
      </c>
      <c r="AR1" s="6">
        <f t="shared" si="0"/>
        <v>45977</v>
      </c>
      <c r="AS1" s="6">
        <f t="shared" si="0"/>
        <v>45978</v>
      </c>
      <c r="AT1" s="6">
        <f t="shared" si="0"/>
        <v>45979</v>
      </c>
      <c r="AU1" s="6">
        <f t="shared" si="0"/>
        <v>45980</v>
      </c>
      <c r="AV1" s="6">
        <f t="shared" si="0"/>
        <v>45981</v>
      </c>
      <c r="AW1" s="6">
        <f t="shared" si="0"/>
        <v>45982</v>
      </c>
      <c r="AX1" s="6">
        <f t="shared" si="0"/>
        <v>45983</v>
      </c>
      <c r="AY1" s="6">
        <f t="shared" si="0"/>
        <v>45984</v>
      </c>
      <c r="AZ1" s="6">
        <f t="shared" si="0"/>
        <v>45985</v>
      </c>
      <c r="BA1" s="6">
        <f t="shared" si="0"/>
        <v>45986</v>
      </c>
      <c r="BB1" s="6">
        <f t="shared" si="0"/>
        <v>45987</v>
      </c>
      <c r="BC1" s="6">
        <f t="shared" si="0"/>
        <v>45988</v>
      </c>
      <c r="BD1" s="6">
        <f t="shared" si="0"/>
        <v>45989</v>
      </c>
      <c r="BE1" s="6">
        <f t="shared" si="0"/>
        <v>45990</v>
      </c>
      <c r="BF1" s="6">
        <f t="shared" si="0"/>
        <v>45991</v>
      </c>
      <c r="BG1" s="6">
        <f t="shared" si="0"/>
        <v>45992</v>
      </c>
      <c r="BH1" s="6">
        <f t="shared" si="0"/>
        <v>45993</v>
      </c>
      <c r="BI1" s="6">
        <f t="shared" si="0"/>
        <v>45994</v>
      </c>
      <c r="BJ1" s="6">
        <f t="shared" si="0"/>
        <v>45995</v>
      </c>
      <c r="BK1" s="6">
        <f t="shared" si="0"/>
        <v>45996</v>
      </c>
      <c r="BL1" s="6">
        <f t="shared" si="0"/>
        <v>45997</v>
      </c>
      <c r="BM1" s="6">
        <f t="shared" si="0"/>
        <v>45998</v>
      </c>
      <c r="BN1" s="6">
        <f t="shared" si="0"/>
        <v>45999</v>
      </c>
      <c r="BO1" s="6">
        <f t="shared" si="0"/>
        <v>46000</v>
      </c>
      <c r="BP1" s="6">
        <f t="shared" ref="BP1:DH1" si="1">BO1+1</f>
        <v>46001</v>
      </c>
      <c r="BQ1" s="6">
        <f t="shared" si="1"/>
        <v>46002</v>
      </c>
      <c r="BR1" s="6">
        <f t="shared" si="1"/>
        <v>46003</v>
      </c>
      <c r="BS1" s="6">
        <f t="shared" si="1"/>
        <v>46004</v>
      </c>
      <c r="BT1" s="6">
        <f t="shared" si="1"/>
        <v>46005</v>
      </c>
      <c r="BU1" s="6">
        <f t="shared" si="1"/>
        <v>46006</v>
      </c>
      <c r="BV1" s="6">
        <f t="shared" si="1"/>
        <v>46007</v>
      </c>
      <c r="BW1" s="6">
        <f t="shared" si="1"/>
        <v>46008</v>
      </c>
      <c r="BX1" s="6">
        <f t="shared" si="1"/>
        <v>46009</v>
      </c>
      <c r="BY1" s="6">
        <f t="shared" si="1"/>
        <v>46010</v>
      </c>
      <c r="BZ1" s="6">
        <f t="shared" si="1"/>
        <v>46011</v>
      </c>
      <c r="CA1" s="6">
        <f t="shared" si="1"/>
        <v>46012</v>
      </c>
      <c r="CB1" s="6">
        <f t="shared" si="1"/>
        <v>46013</v>
      </c>
      <c r="CC1" s="6">
        <f t="shared" si="1"/>
        <v>46014</v>
      </c>
      <c r="CD1" s="6">
        <f t="shared" si="1"/>
        <v>46015</v>
      </c>
      <c r="CE1" s="6">
        <f t="shared" si="1"/>
        <v>46016</v>
      </c>
      <c r="CF1" s="6">
        <f t="shared" si="1"/>
        <v>46017</v>
      </c>
      <c r="CG1" s="6">
        <f t="shared" si="1"/>
        <v>46018</v>
      </c>
      <c r="CH1" s="6">
        <f t="shared" si="1"/>
        <v>46019</v>
      </c>
      <c r="CI1" s="6">
        <f t="shared" si="1"/>
        <v>46020</v>
      </c>
      <c r="CJ1" s="6">
        <f t="shared" si="1"/>
        <v>46021</v>
      </c>
      <c r="CK1" s="6">
        <f t="shared" si="1"/>
        <v>46022</v>
      </c>
      <c r="CL1" s="6">
        <f t="shared" si="1"/>
        <v>46023</v>
      </c>
      <c r="CM1" s="6">
        <f t="shared" si="1"/>
        <v>46024</v>
      </c>
      <c r="CN1" s="6">
        <f t="shared" si="1"/>
        <v>46025</v>
      </c>
      <c r="CO1" s="6">
        <f t="shared" si="1"/>
        <v>46026</v>
      </c>
      <c r="CP1" s="6">
        <f t="shared" si="1"/>
        <v>46027</v>
      </c>
      <c r="CQ1" s="6">
        <f t="shared" si="1"/>
        <v>46028</v>
      </c>
      <c r="CR1" s="6">
        <f t="shared" si="1"/>
        <v>46029</v>
      </c>
      <c r="CS1" s="6">
        <f t="shared" si="1"/>
        <v>46030</v>
      </c>
      <c r="CT1" s="6">
        <f t="shared" si="1"/>
        <v>46031</v>
      </c>
      <c r="CU1" s="6">
        <f t="shared" si="1"/>
        <v>46032</v>
      </c>
      <c r="CV1" s="6">
        <f t="shared" si="1"/>
        <v>46033</v>
      </c>
      <c r="CW1" s="6">
        <f t="shared" si="1"/>
        <v>46034</v>
      </c>
      <c r="CX1" s="6">
        <f t="shared" si="1"/>
        <v>46035</v>
      </c>
      <c r="CY1" s="6">
        <f t="shared" si="1"/>
        <v>46036</v>
      </c>
      <c r="CZ1" s="6">
        <f t="shared" si="1"/>
        <v>46037</v>
      </c>
      <c r="DA1" s="6">
        <f t="shared" si="1"/>
        <v>46038</v>
      </c>
      <c r="DB1" s="6">
        <f t="shared" si="1"/>
        <v>46039</v>
      </c>
      <c r="DC1" s="6">
        <f t="shared" si="1"/>
        <v>46040</v>
      </c>
      <c r="DD1" s="6">
        <f t="shared" si="1"/>
        <v>46041</v>
      </c>
      <c r="DE1" s="6">
        <f t="shared" si="1"/>
        <v>46042</v>
      </c>
      <c r="DF1" s="6">
        <f t="shared" si="1"/>
        <v>46043</v>
      </c>
      <c r="DG1" s="6">
        <f t="shared" si="1"/>
        <v>46044</v>
      </c>
      <c r="DH1" s="6">
        <f t="shared" si="1"/>
        <v>46045</v>
      </c>
    </row>
    <row r="2" spans="1:256" s="2" customFormat="1" ht="15.75" x14ac:dyDescent="0.2">
      <c r="A2" s="7" t="s">
        <v>2</v>
      </c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 ht="15" x14ac:dyDescent="0.2">
      <c r="A3" s="10" t="s">
        <v>3</v>
      </c>
      <c r="B3" s="11">
        <f t="shared" ref="B3:B20" si="2">SUM(C3:DH3)</f>
        <v>12</v>
      </c>
      <c r="C3" s="12">
        <v>4</v>
      </c>
      <c r="D3" s="12">
        <v>1</v>
      </c>
      <c r="E3" s="12">
        <v>4</v>
      </c>
      <c r="F3" s="12">
        <v>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</row>
    <row r="4" spans="1:256" ht="12" hidden="1" customHeight="1" x14ac:dyDescent="0.2">
      <c r="A4" s="13" t="s">
        <v>15</v>
      </c>
      <c r="B4" s="14">
        <f t="shared" si="2"/>
        <v>0</v>
      </c>
      <c r="C4" s="15"/>
      <c r="D4" s="15"/>
      <c r="E4" s="15"/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</row>
    <row r="5" spans="1:256" ht="12" hidden="1" customHeight="1" x14ac:dyDescent="0.2">
      <c r="A5" s="13" t="s">
        <v>16</v>
      </c>
      <c r="B5" s="14">
        <f t="shared" si="2"/>
        <v>0</v>
      </c>
      <c r="C5" s="15"/>
      <c r="D5" s="15"/>
      <c r="E5" s="15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</row>
    <row r="6" spans="1:256" ht="12" hidden="1" customHeight="1" x14ac:dyDescent="0.2">
      <c r="A6" s="13" t="s">
        <v>17</v>
      </c>
      <c r="B6" s="14">
        <f t="shared" si="2"/>
        <v>0</v>
      </c>
      <c r="C6" s="15"/>
      <c r="D6" s="15"/>
      <c r="E6" s="15"/>
      <c r="F6" s="15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</row>
    <row r="7" spans="1:256" ht="12" hidden="1" customHeight="1" x14ac:dyDescent="0.2">
      <c r="A7" s="13" t="s">
        <v>18</v>
      </c>
      <c r="B7" s="14">
        <f t="shared" si="2"/>
        <v>0</v>
      </c>
      <c r="C7" s="15"/>
      <c r="D7" s="15"/>
      <c r="E7" s="15"/>
      <c r="F7" s="15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</row>
    <row r="8" spans="1:256" ht="12" hidden="1" customHeight="1" x14ac:dyDescent="0.2">
      <c r="A8" s="13" t="s">
        <v>19</v>
      </c>
      <c r="B8" s="14">
        <f t="shared" si="2"/>
        <v>0</v>
      </c>
      <c r="C8" s="15"/>
      <c r="D8" s="15"/>
      <c r="E8" s="15"/>
      <c r="F8" s="15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</row>
    <row r="9" spans="1:256" ht="15" x14ac:dyDescent="0.2">
      <c r="A9" s="10" t="s">
        <v>4</v>
      </c>
      <c r="B9" s="11">
        <f t="shared" si="2"/>
        <v>27</v>
      </c>
      <c r="C9" s="16"/>
      <c r="D9" s="16"/>
      <c r="E9" s="16"/>
      <c r="F9" s="16"/>
      <c r="G9" s="12">
        <v>4</v>
      </c>
      <c r="H9" s="12">
        <v>1</v>
      </c>
      <c r="I9" s="12">
        <v>4</v>
      </c>
      <c r="J9" s="12">
        <v>1</v>
      </c>
      <c r="K9" s="12">
        <v>4</v>
      </c>
      <c r="L9" s="12">
        <v>4</v>
      </c>
      <c r="M9" s="12">
        <v>1</v>
      </c>
      <c r="N9" s="12">
        <v>4</v>
      </c>
      <c r="O9" s="12">
        <v>4</v>
      </c>
      <c r="P9" s="16"/>
      <c r="Q9" s="16"/>
      <c r="R9" s="16"/>
      <c r="S9" s="16"/>
      <c r="T9" s="16"/>
      <c r="U9" s="23"/>
      <c r="V9" s="23"/>
      <c r="W9" s="23"/>
      <c r="X9" s="28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</row>
    <row r="10" spans="1:256" ht="12" hidden="1" customHeight="1" x14ac:dyDescent="0.2">
      <c r="A10" s="13" t="s">
        <v>15</v>
      </c>
      <c r="B10" s="14">
        <f t="shared" si="2"/>
        <v>0</v>
      </c>
      <c r="C10" s="16"/>
      <c r="D10" s="16"/>
      <c r="E10" s="16"/>
      <c r="F10" s="16"/>
      <c r="G10" s="15"/>
      <c r="H10" s="15"/>
      <c r="I10" s="15"/>
      <c r="J10" s="15"/>
      <c r="K10" s="15"/>
      <c r="L10" s="15"/>
      <c r="M10" s="15"/>
      <c r="N10" s="15"/>
      <c r="O10" s="15"/>
      <c r="P10" s="16"/>
      <c r="Q10" s="16"/>
      <c r="R10" s="16"/>
      <c r="S10" s="16"/>
      <c r="T10" s="16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</row>
    <row r="11" spans="1:256" ht="12" hidden="1" customHeight="1" x14ac:dyDescent="0.2">
      <c r="A11" s="13" t="s">
        <v>16</v>
      </c>
      <c r="B11" s="14">
        <f t="shared" si="2"/>
        <v>0</v>
      </c>
      <c r="C11" s="16"/>
      <c r="D11" s="16"/>
      <c r="E11" s="16"/>
      <c r="F11" s="16"/>
      <c r="G11" s="15"/>
      <c r="H11" s="15"/>
      <c r="I11" s="15"/>
      <c r="J11" s="15"/>
      <c r="K11" s="15"/>
      <c r="L11" s="15"/>
      <c r="M11" s="15"/>
      <c r="N11" s="15"/>
      <c r="O11" s="15"/>
      <c r="P11" s="16"/>
      <c r="Q11" s="16"/>
      <c r="R11" s="16"/>
      <c r="S11" s="16"/>
      <c r="T11" s="16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</row>
    <row r="12" spans="1:256" ht="12" hidden="1" customHeight="1" x14ac:dyDescent="0.2">
      <c r="A12" s="13" t="s">
        <v>17</v>
      </c>
      <c r="B12" s="14">
        <f t="shared" si="2"/>
        <v>0</v>
      </c>
      <c r="C12" s="16"/>
      <c r="D12" s="16"/>
      <c r="E12" s="16"/>
      <c r="F12" s="16"/>
      <c r="G12" s="15"/>
      <c r="H12" s="15"/>
      <c r="I12" s="15"/>
      <c r="J12" s="15"/>
      <c r="K12" s="15"/>
      <c r="L12" s="15"/>
      <c r="M12" s="15"/>
      <c r="N12" s="15"/>
      <c r="O12" s="15"/>
      <c r="P12" s="16"/>
      <c r="Q12" s="16"/>
      <c r="R12" s="16"/>
      <c r="S12" s="16"/>
      <c r="T12" s="16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</row>
    <row r="13" spans="1:256" ht="12" hidden="1" customHeight="1" x14ac:dyDescent="0.2">
      <c r="A13" s="13" t="s">
        <v>18</v>
      </c>
      <c r="B13" s="14">
        <f t="shared" si="2"/>
        <v>0</v>
      </c>
      <c r="C13" s="16"/>
      <c r="D13" s="16"/>
      <c r="E13" s="16"/>
      <c r="F13" s="16"/>
      <c r="G13" s="15"/>
      <c r="H13" s="15"/>
      <c r="I13" s="15"/>
      <c r="J13" s="15"/>
      <c r="K13" s="15"/>
      <c r="L13" s="15"/>
      <c r="M13" s="15"/>
      <c r="N13" s="15"/>
      <c r="O13" s="15"/>
      <c r="P13" s="16"/>
      <c r="Q13" s="16"/>
      <c r="R13" s="16"/>
      <c r="S13" s="16"/>
      <c r="T13" s="16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</row>
    <row r="14" spans="1:256" ht="12" hidden="1" customHeight="1" x14ac:dyDescent="0.2">
      <c r="A14" s="13" t="s">
        <v>19</v>
      </c>
      <c r="B14" s="14">
        <f t="shared" si="2"/>
        <v>0</v>
      </c>
      <c r="C14" s="16"/>
      <c r="D14" s="16"/>
      <c r="E14" s="16"/>
      <c r="F14" s="16"/>
      <c r="G14" s="15"/>
      <c r="H14" s="15"/>
      <c r="I14" s="15"/>
      <c r="J14" s="15"/>
      <c r="K14" s="15"/>
      <c r="L14" s="15"/>
      <c r="M14" s="15"/>
      <c r="N14" s="15"/>
      <c r="O14" s="15"/>
      <c r="P14" s="16"/>
      <c r="Q14" s="16"/>
      <c r="R14" s="16"/>
      <c r="S14" s="16"/>
      <c r="T14" s="16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</row>
    <row r="15" spans="1:256" s="3" customFormat="1" ht="15" x14ac:dyDescent="0.2">
      <c r="A15" s="17" t="s">
        <v>5</v>
      </c>
      <c r="B15" s="11">
        <f t="shared" si="2"/>
        <v>8</v>
      </c>
      <c r="C15" s="16"/>
      <c r="D15" s="16"/>
      <c r="E15" s="16"/>
      <c r="F15" s="16"/>
      <c r="G15" s="26"/>
      <c r="H15" s="26"/>
      <c r="I15" s="26"/>
      <c r="J15" s="26"/>
      <c r="K15" s="26"/>
      <c r="L15" s="26"/>
      <c r="M15" s="26"/>
      <c r="N15" s="12">
        <v>4</v>
      </c>
      <c r="O15" s="12">
        <v>4</v>
      </c>
      <c r="P15" s="26"/>
      <c r="Q15" s="26"/>
      <c r="R15" s="26"/>
      <c r="S15" s="26"/>
      <c r="T15" s="26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</row>
    <row r="16" spans="1:256" ht="12" hidden="1" customHeight="1" x14ac:dyDescent="0.2">
      <c r="A16" s="13" t="s">
        <v>15</v>
      </c>
      <c r="B16" s="14">
        <f t="shared" si="2"/>
        <v>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5"/>
      <c r="O16" s="15"/>
      <c r="P16" s="16"/>
      <c r="Q16" s="16"/>
      <c r="R16" s="16"/>
      <c r="S16" s="16"/>
      <c r="T16" s="16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</row>
    <row r="17" spans="1:112" ht="12" hidden="1" customHeight="1" x14ac:dyDescent="0.2">
      <c r="A17" s="13" t="s">
        <v>16</v>
      </c>
      <c r="B17" s="14">
        <f t="shared" si="2"/>
        <v>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5"/>
      <c r="O17" s="15"/>
      <c r="P17" s="16"/>
      <c r="Q17" s="16"/>
      <c r="R17" s="16"/>
      <c r="S17" s="16"/>
      <c r="T17" s="16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</row>
    <row r="18" spans="1:112" ht="12" hidden="1" customHeight="1" x14ac:dyDescent="0.2">
      <c r="A18" s="13" t="s">
        <v>17</v>
      </c>
      <c r="B18" s="14">
        <f t="shared" si="2"/>
        <v>0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5"/>
      <c r="O18" s="15"/>
      <c r="P18" s="16"/>
      <c r="Q18" s="16"/>
      <c r="R18" s="16"/>
      <c r="S18" s="16"/>
      <c r="T18" s="16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</row>
    <row r="19" spans="1:112" ht="12" hidden="1" customHeight="1" x14ac:dyDescent="0.2">
      <c r="A19" s="13" t="s">
        <v>18</v>
      </c>
      <c r="B19" s="14">
        <f t="shared" si="2"/>
        <v>0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5"/>
      <c r="O19" s="15"/>
      <c r="P19" s="16"/>
      <c r="Q19" s="16"/>
      <c r="R19" s="16"/>
      <c r="S19" s="16"/>
      <c r="T19" s="16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</row>
    <row r="20" spans="1:112" ht="12" hidden="1" customHeight="1" x14ac:dyDescent="0.2">
      <c r="A20" s="13" t="s">
        <v>19</v>
      </c>
      <c r="B20" s="14">
        <f t="shared" si="2"/>
        <v>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5"/>
      <c r="O20" s="15"/>
      <c r="P20" s="16"/>
      <c r="Q20" s="16"/>
      <c r="R20" s="16"/>
      <c r="S20" s="16"/>
      <c r="T20" s="16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</row>
    <row r="21" spans="1:112" ht="16.5" x14ac:dyDescent="0.2">
      <c r="A21" s="18" t="s">
        <v>6</v>
      </c>
      <c r="B21" s="19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27"/>
      <c r="P21" s="16"/>
      <c r="Q21" s="16"/>
      <c r="R21" s="16"/>
      <c r="S21" s="16"/>
      <c r="T21" s="16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</row>
    <row r="22" spans="1:112" ht="15.75" x14ac:dyDescent="0.2">
      <c r="A22" s="7" t="s">
        <v>7</v>
      </c>
      <c r="B22" s="20"/>
      <c r="C22" s="16"/>
      <c r="D22" s="16"/>
      <c r="E22" s="16"/>
      <c r="F22" s="16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</row>
    <row r="23" spans="1:112" ht="15" x14ac:dyDescent="0.2">
      <c r="A23" s="21" t="s">
        <v>8</v>
      </c>
      <c r="B23" s="22">
        <f t="shared" ref="B23:B58" si="3">SUM(C23:DH23)</f>
        <v>7</v>
      </c>
      <c r="C23" s="16"/>
      <c r="D23" s="16"/>
      <c r="E23" s="16"/>
      <c r="F23" s="16"/>
      <c r="G23" s="23"/>
      <c r="H23" s="23"/>
      <c r="I23" s="23"/>
      <c r="J23" s="23"/>
      <c r="K23" s="23"/>
      <c r="L23" s="23"/>
      <c r="M23" s="23"/>
      <c r="N23" s="23"/>
      <c r="O23" s="23"/>
      <c r="P23" s="12">
        <v>4</v>
      </c>
      <c r="Q23" s="12">
        <v>3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</row>
    <row r="24" spans="1:112" ht="12" hidden="1" customHeight="1" x14ac:dyDescent="0.2">
      <c r="A24" s="13" t="s">
        <v>15</v>
      </c>
      <c r="B24" s="14">
        <f t="shared" si="3"/>
        <v>0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6"/>
      <c r="S24" s="16"/>
      <c r="T24" s="16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</row>
    <row r="25" spans="1:112" ht="12" hidden="1" customHeight="1" x14ac:dyDescent="0.2">
      <c r="A25" s="13" t="s">
        <v>16</v>
      </c>
      <c r="B25" s="14">
        <f t="shared" si="3"/>
        <v>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6"/>
      <c r="S25" s="16"/>
      <c r="T25" s="16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</row>
    <row r="26" spans="1:112" ht="12" hidden="1" customHeight="1" x14ac:dyDescent="0.2">
      <c r="A26" s="13" t="s">
        <v>17</v>
      </c>
      <c r="B26" s="14">
        <f t="shared" si="3"/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6"/>
      <c r="S26" s="16"/>
      <c r="T26" s="16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</row>
    <row r="27" spans="1:112" ht="12" hidden="1" customHeight="1" x14ac:dyDescent="0.2">
      <c r="A27" s="13" t="s">
        <v>18</v>
      </c>
      <c r="B27" s="14">
        <f t="shared" si="3"/>
        <v>0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6"/>
      <c r="S27" s="16"/>
      <c r="T27" s="16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</row>
    <row r="28" spans="1:112" ht="12" hidden="1" customHeight="1" x14ac:dyDescent="0.2">
      <c r="A28" s="13" t="s">
        <v>19</v>
      </c>
      <c r="B28" s="14">
        <f t="shared" si="3"/>
        <v>0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6"/>
      <c r="S28" s="16"/>
      <c r="T28" s="16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</row>
    <row r="29" spans="1:112" ht="15" x14ac:dyDescent="0.2">
      <c r="A29" s="21" t="s">
        <v>9</v>
      </c>
      <c r="B29" s="22">
        <f t="shared" si="3"/>
        <v>7</v>
      </c>
      <c r="C29" s="16"/>
      <c r="D29" s="16"/>
      <c r="E29" s="16"/>
      <c r="F29" s="16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12">
        <v>4</v>
      </c>
      <c r="S29" s="12">
        <v>3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</row>
    <row r="30" spans="1:112" ht="12" hidden="1" customHeight="1" x14ac:dyDescent="0.2">
      <c r="A30" s="13" t="s">
        <v>15</v>
      </c>
      <c r="B30" s="14">
        <f t="shared" si="3"/>
        <v>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5"/>
      <c r="S30" s="15"/>
      <c r="T30" s="16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</row>
    <row r="31" spans="1:112" ht="12" hidden="1" customHeight="1" x14ac:dyDescent="0.2">
      <c r="A31" s="13" t="s">
        <v>16</v>
      </c>
      <c r="B31" s="14">
        <f t="shared" si="3"/>
        <v>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5"/>
      <c r="S31" s="15"/>
      <c r="T31" s="16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</row>
    <row r="32" spans="1:112" ht="12" hidden="1" customHeight="1" x14ac:dyDescent="0.2">
      <c r="A32" s="13" t="s">
        <v>17</v>
      </c>
      <c r="B32" s="14">
        <f t="shared" si="3"/>
        <v>0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5"/>
      <c r="T32" s="16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</row>
    <row r="33" spans="1:112" ht="12" hidden="1" customHeight="1" x14ac:dyDescent="0.2">
      <c r="A33" s="13" t="s">
        <v>18</v>
      </c>
      <c r="B33" s="14">
        <f t="shared" si="3"/>
        <v>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5"/>
      <c r="S33" s="15"/>
      <c r="T33" s="16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</row>
    <row r="34" spans="1:112" ht="12" hidden="1" customHeight="1" x14ac:dyDescent="0.2">
      <c r="A34" s="13" t="s">
        <v>19</v>
      </c>
      <c r="B34" s="14">
        <f t="shared" si="3"/>
        <v>0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5"/>
      <c r="S34" s="15"/>
      <c r="T34" s="16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</row>
    <row r="35" spans="1:112" ht="15" x14ac:dyDescent="0.2">
      <c r="A35" s="21" t="s">
        <v>10</v>
      </c>
      <c r="B35" s="22">
        <f t="shared" si="3"/>
        <v>0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</row>
    <row r="36" spans="1:112" hidden="1" x14ac:dyDescent="0.2">
      <c r="A36" s="13" t="s">
        <v>15</v>
      </c>
      <c r="B36" s="14">
        <f t="shared" si="3"/>
        <v>0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</row>
    <row r="37" spans="1:112" hidden="1" x14ac:dyDescent="0.2">
      <c r="A37" s="13" t="s">
        <v>16</v>
      </c>
      <c r="B37" s="14">
        <f t="shared" si="3"/>
        <v>0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</row>
    <row r="38" spans="1:112" hidden="1" x14ac:dyDescent="0.2">
      <c r="A38" s="13" t="s">
        <v>17</v>
      </c>
      <c r="B38" s="14">
        <f t="shared" si="3"/>
        <v>0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</row>
    <row r="39" spans="1:112" hidden="1" x14ac:dyDescent="0.2">
      <c r="A39" s="13" t="s">
        <v>18</v>
      </c>
      <c r="B39" s="14">
        <f t="shared" si="3"/>
        <v>0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</row>
    <row r="40" spans="1:112" hidden="1" x14ac:dyDescent="0.2">
      <c r="A40" s="13" t="s">
        <v>19</v>
      </c>
      <c r="B40" s="14">
        <f t="shared" si="3"/>
        <v>0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</row>
    <row r="41" spans="1:112" ht="15" x14ac:dyDescent="0.2">
      <c r="A41" s="21" t="s">
        <v>11</v>
      </c>
      <c r="B41" s="22">
        <f t="shared" si="3"/>
        <v>0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</row>
    <row r="42" spans="1:112" hidden="1" x14ac:dyDescent="0.2">
      <c r="A42" s="13" t="s">
        <v>15</v>
      </c>
      <c r="B42" s="14">
        <f t="shared" si="3"/>
        <v>0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</row>
    <row r="43" spans="1:112" hidden="1" x14ac:dyDescent="0.2">
      <c r="A43" s="13" t="s">
        <v>16</v>
      </c>
      <c r="B43" s="14">
        <f t="shared" si="3"/>
        <v>0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</row>
    <row r="44" spans="1:112" hidden="1" x14ac:dyDescent="0.2">
      <c r="A44" s="13" t="s">
        <v>17</v>
      </c>
      <c r="B44" s="14">
        <f t="shared" si="3"/>
        <v>0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</row>
    <row r="45" spans="1:112" hidden="1" x14ac:dyDescent="0.2">
      <c r="A45" s="13" t="s">
        <v>18</v>
      </c>
      <c r="B45" s="14">
        <f t="shared" si="3"/>
        <v>0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</row>
    <row r="46" spans="1:112" hidden="1" x14ac:dyDescent="0.2">
      <c r="A46" s="13" t="s">
        <v>19</v>
      </c>
      <c r="B46" s="14">
        <f t="shared" si="3"/>
        <v>0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</row>
    <row r="47" spans="1:112" ht="15" x14ac:dyDescent="0.2">
      <c r="A47" s="21" t="s">
        <v>12</v>
      </c>
      <c r="B47" s="22">
        <f t="shared" si="3"/>
        <v>0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</row>
    <row r="48" spans="1:112" hidden="1" x14ac:dyDescent="0.2">
      <c r="A48" s="13" t="s">
        <v>15</v>
      </c>
      <c r="B48" s="14">
        <f t="shared" si="3"/>
        <v>0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</row>
    <row r="49" spans="1:112" hidden="1" x14ac:dyDescent="0.2">
      <c r="A49" s="13" t="s">
        <v>16</v>
      </c>
      <c r="B49" s="14">
        <f t="shared" si="3"/>
        <v>0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</row>
    <row r="50" spans="1:112" hidden="1" x14ac:dyDescent="0.2">
      <c r="A50" s="13" t="s">
        <v>17</v>
      </c>
      <c r="B50" s="14">
        <f t="shared" si="3"/>
        <v>0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</row>
    <row r="51" spans="1:112" hidden="1" x14ac:dyDescent="0.2">
      <c r="A51" s="13" t="s">
        <v>18</v>
      </c>
      <c r="B51" s="14">
        <f t="shared" si="3"/>
        <v>0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</row>
    <row r="52" spans="1:112" hidden="1" x14ac:dyDescent="0.2">
      <c r="A52" s="13" t="s">
        <v>19</v>
      </c>
      <c r="B52" s="14">
        <f t="shared" si="3"/>
        <v>0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</row>
    <row r="53" spans="1:112" ht="15" x14ac:dyDescent="0.2">
      <c r="A53" s="21" t="s">
        <v>13</v>
      </c>
      <c r="B53" s="22">
        <f t="shared" si="3"/>
        <v>0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</row>
    <row r="54" spans="1:112" hidden="1" x14ac:dyDescent="0.2">
      <c r="A54" s="13" t="s">
        <v>15</v>
      </c>
      <c r="B54" s="14">
        <f t="shared" si="3"/>
        <v>0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</row>
    <row r="55" spans="1:112" hidden="1" x14ac:dyDescent="0.2">
      <c r="A55" s="13" t="s">
        <v>16</v>
      </c>
      <c r="B55" s="14">
        <f t="shared" si="3"/>
        <v>0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</row>
    <row r="56" spans="1:112" hidden="1" x14ac:dyDescent="0.2">
      <c r="A56" s="13" t="s">
        <v>17</v>
      </c>
      <c r="B56" s="14">
        <f t="shared" si="3"/>
        <v>0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</row>
    <row r="57" spans="1:112" hidden="1" x14ac:dyDescent="0.2">
      <c r="A57" s="13" t="s">
        <v>18</v>
      </c>
      <c r="B57" s="14">
        <f t="shared" si="3"/>
        <v>0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</row>
    <row r="58" spans="1:112" hidden="1" x14ac:dyDescent="0.2">
      <c r="A58" s="13" t="s">
        <v>19</v>
      </c>
      <c r="B58" s="14">
        <f t="shared" si="3"/>
        <v>0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</row>
    <row r="59" spans="1:112" ht="15.75" x14ac:dyDescent="0.25">
      <c r="A59" s="24" t="s">
        <v>14</v>
      </c>
      <c r="B59" s="25">
        <f>SUM(B3:B58)</f>
        <v>61</v>
      </c>
    </row>
  </sheetData>
  <conditionalFormatting sqref="C1:DH1">
    <cfRule type="expression" dxfId="0" priority="1">
      <formula>OR(WEEKDAY(C1)=7,WEEKDAY(C1)=1)</formula>
    </cfRule>
  </conditionalFormatting>
  <pageMargins left="0.39305555555555555" right="0.39305555555555555" top="0.39305555555555555" bottom="0.39305555555555555" header="0" footer="0"/>
  <pageSetup paperSize="9" scale="59" fitToWidth="0" orientation="landscape" horizontalDpi="300" verticalDpi="300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00C8-678F-4C1D-ABBC-4F4B9F0A1AC6}">
  <dimension ref="A1:IV2"/>
  <sheetViews>
    <sheetView zoomScaleSheetLayoutView="100" workbookViewId="0">
      <selection activeCell="B5" sqref="B5"/>
    </sheetView>
  </sheetViews>
  <sheetFormatPr baseColWidth="10" defaultColWidth="9.140625" defaultRowHeight="12.75" x14ac:dyDescent="0.2"/>
  <cols>
    <col min="1" max="1" width="12.28515625" customWidth="1"/>
    <col min="2" max="2" width="10.85546875" bestFit="1" customWidth="1"/>
  </cols>
  <sheetData>
    <row r="1" spans="1:256" x14ac:dyDescent="0.2">
      <c r="A1" t="s">
        <v>20</v>
      </c>
      <c r="B1">
        <v>4</v>
      </c>
    </row>
    <row r="2" spans="1:256" x14ac:dyDescent="0.2">
      <c r="A2" t="s">
        <v>21</v>
      </c>
      <c r="B2" s="1">
        <v>45936</v>
      </c>
      <c r="IV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</vt:i4>
      </vt:variant>
    </vt:vector>
  </HeadingPairs>
  <TitlesOfParts>
    <vt:vector size="10" baseType="lpstr">
      <vt:lpstr>Patron Gantt</vt:lpstr>
      <vt:lpstr>Patron Gantt xPersona</vt:lpstr>
      <vt:lpstr>Patron Gantt (pers. escondidas)</vt:lpstr>
      <vt:lpstr>Parametros</vt:lpstr>
      <vt:lpstr>'Patron Gantt'!Área_de_impresión</vt:lpstr>
      <vt:lpstr>Fecha_inicio</vt:lpstr>
      <vt:lpstr>Horas_dia</vt:lpstr>
      <vt:lpstr>'Patron Gantt'!Títulos_a_imprimir</vt:lpstr>
      <vt:lpstr>'Patron Gantt (pers. escondidas)'!Títulos_a_imprimir</vt:lpstr>
      <vt:lpstr>'Patron Gantt xPersona'!Títulos_a_imprimir</vt:lpstr>
    </vt:vector>
  </TitlesOfParts>
  <Company>Fer Work's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 Work's</dc:creator>
  <cp:lastModifiedBy>ZIV-Sergio Bret Villalta</cp:lastModifiedBy>
  <cp:lastPrinted>2025-11-28T12:37:52Z</cp:lastPrinted>
  <dcterms:created xsi:type="dcterms:W3CDTF">2004-12-16T00:13:06Z</dcterms:created>
  <dcterms:modified xsi:type="dcterms:W3CDTF">2025-11-28T12:42:43Z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1033-11.1.0.11664</vt:lpwstr>
  </property>
  <property fmtid="{D5CDD505-2E9C-101B-9397-08002B2CF9AE}" pid="3" name="ICV">
    <vt:lpwstr/>
  </property>
</Properties>
</file>